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b9a7c94e9234313" /></Relationships>
</file>

<file path=xl/workbook.xml><?xml version="1.0" encoding="utf-8"?>
<x:workbook xmlns:x="http://schemas.openxmlformats.org/spreadsheetml/2006/main">
  <x:sheets>
    <x:sheet xmlns:r="http://schemas.openxmlformats.org/officeDocument/2006/relationships" name="Read Me" sheetId="1" r:id="Rd7b8c4292ac1405d"/>
    <x:sheet xmlns:r="http://schemas.openxmlformats.org/officeDocument/2006/relationships" name="Requirements RTM" sheetId="2" r:id="R86c153b7945f4f6c"/>
    <x:sheet xmlns:r="http://schemas.openxmlformats.org/officeDocument/2006/relationships" name="Test Case Register" sheetId="3" r:id="R1eeb6f532cb147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2">
    <x:font>
      <x:sz val="11"/>
      <x:name val="Carlito"/>
    </x:font>
    <x:font>
      <x:b/>
      <x:sz val="16"/>
      <x:color rgb="FFFFFFFF"/>
      <x:name val="Carlito"/>
    </x:font>
    <x:font>
      <x:i/>
      <x:sz val="10"/>
      <x:color rgb="FF263746"/>
      <x:name val="Carlito"/>
    </x:font>
    <x:font>
      <x:b/>
      <x:sz val="11"/>
      <x:color rgb="FFFFFFFF"/>
      <x:name val="Carlito"/>
    </x:font>
    <x:font>
      <x:b/>
      <x:sz val="12"/>
      <x:color rgb="FFFFFFFF"/>
      <x:name val="Carlito"/>
    </x:font>
    <x:font>
      <x:b/>
      <x:sz val="11"/>
      <x:color rgb="FF263746"/>
      <x:name val="Carlito"/>
    </x:font>
    <x:font>
      <x:b/>
      <x:sz val="12"/>
      <x:color rgb="FF28603A"/>
      <x:name val="Carlito"/>
    </x:font>
    <x:font>
      <x:b/>
      <x:sz val="10"/>
      <x:color rgb="FFFFFFFF"/>
      <x:name val="Carlito"/>
    </x:font>
    <x:font>
      <x:sz val="10"/>
      <x:color rgb="FF263746"/>
      <x:name val="Carlito"/>
    </x:font>
    <x:font>
      <x:b/>
      <x:sz val="10"/>
      <x:color rgb="FF1F5B89"/>
      <x:name val="Carlito"/>
    </x:font>
    <x:font>
      <x:sz val="9"/>
      <x:color rgb="FF0563C1"/>
      <x:name val="Carlito"/>
    </x:font>
    <x:font>
      <x:b/>
      <x:sz val="10"/>
      <x:color rgb="FF7F6000"/>
      <x:name val="Carlito"/>
    </x:font>
  </x:fonts>
  <x:fills count="13">
    <x:fill>
      <x:patternFill patternType="none"/>
    </x:fill>
    <x:fill>
      <x:patternFill patternType="gray125"/>
    </x:fill>
    <x:fill>
      <x:patternFill patternType="solid">
        <x:fgColor rgb="FF163A5F"/>
      </x:patternFill>
    </x:fill>
    <x:fill>
      <x:patternFill patternType="solid">
        <x:fgColor rgb="FFDCEAF7"/>
      </x:patternFill>
    </x:fill>
    <x:fill>
      <x:patternFill patternType="solid">
        <x:fgColor rgb="FF1F5B89"/>
      </x:patternFill>
    </x:fill>
    <x:fill>
      <x:patternFill patternType="solid">
        <x:fgColor rgb="FFF1F6FB"/>
      </x:patternFill>
    </x:fill>
    <x:fill>
      <x:patternFill patternType="solid">
        <x:fgColor rgb="FFEAF3E4"/>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365D"/>
      </x:patternFill>
    </x:fill>
    <x:fill>
      <x:patternFill patternType="solid">
        <x:fgColor rgb="FFFFF2CC"/>
      </x:patternFill>
    </x:fill>
    <x:fill>
      <x:patternFill patternType="solid">
        <x:fgColor rgb="FFEAF2F8"/>
      </x:patternFill>
    </x:fill>
  </x:fills>
  <x:borders count="2">
    <x:border/>
    <x:border/>
  </x:borders>
  <x:cellStyleXfs count="1">
    <x:xf numFmtId="0" fontId="0" fillId="0" borderId="0"/>
  </x:cellStyleXfs>
  <x:cellXfs count="11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2" borderId="0" xfId="0" applyNumberFormat="1" applyFont="1" applyFill="1" applyBorder="1"/>
    <x:xf numFmtId="0" fontId="4" fillId="2" borderId="0" xfId="0" applyNumberFormat="1" applyFont="1" applyFill="1" applyBorder="1" applyAlignment="1">
      <x:alignment wrapText="1"/>
    </x:xf>
    <x:xf numFmtId="0" fontId="4" fillId="2" borderId="0" xfId="0" applyNumberFormat="1" applyFont="1" applyFill="1" applyBorder="1" applyAlignment="1">
      <x:alignment vertical="center" wrapText="1"/>
    </x:xf>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0" fillId="5"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0" fillId="6" borderId="0" xfId="0" applyNumberFormat="1" applyFont="1" applyFill="1" applyBorder="1" applyAlignment="1">
      <x:alignment vertical="center" wrapText="1"/>
    </x:xf>
    <x:xf numFmtId="0" fontId="6" fillId="6" borderId="0" xfId="0" applyNumberFormat="1" applyFont="1" applyFill="1" applyBorder="1" applyAlignment="1">
      <x:alignment vertical="center" wrapText="1"/>
    </x:xf>
    <x:xf numFmtId="0" fontId="6" fillId="6" borderId="0" xfId="0" applyNumberFormat="1" applyFont="1" applyFill="1" applyBorder="1" applyAlignment="1">
      <x:alignment horizontal="center" vertical="center" wrapText="1"/>
    </x:xf>
    <x:xf numFmtId="0" fontId="0" fillId="6" borderId="1" xfId="0" applyNumberFormat="1" applyFont="1" applyFill="1" applyBorder="1" applyAlignment="1">
      <x:alignment vertical="center" wrapText="1"/>
    </x:xf>
    <x:xf numFmtId="0" fontId="6" fillId="6" borderId="1" xfId="0" applyNumberFormat="1" applyFont="1" applyFill="1" applyBorder="1" applyAlignment="1">
      <x:alignment vertical="center" wrapText="1"/>
    </x:xf>
    <x:xf numFmtId="0" fontId="6" fillId="6" borderId="1" xfId="0" applyNumberFormat="1" applyFont="1" applyFill="1" applyBorder="1" applyAlignment="1">
      <x:alignment horizontal="center" vertical="center"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top"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7" fillId="2" borderId="0" xfId="0" applyNumberFormat="1" applyFont="1" applyFill="1" applyBorder="1" applyAlignment="1">
      <x:alignment horizontal="center" vertical="center" wrapText="1"/>
    </x:xf>
    <x:xf numFmtId="0" fontId="7" fillId="2" borderId="1" xfId="0" applyNumberFormat="1" applyFont="1" applyFill="1" applyBorder="1"/>
    <x:xf numFmtId="0" fontId="7" fillId="2" borderId="1" xfId="0" applyNumberFormat="1" applyFont="1" applyFill="1" applyBorder="1" applyAlignment="1">
      <x:alignment wrapText="1"/>
    </x:xf>
    <x:xf numFmtId="0" fontId="7" fillId="2" borderId="1" xfId="0" applyNumberFormat="1" applyFont="1" applyFill="1" applyBorder="1" applyAlignment="1">
      <x:alignment horizontal="center" wrapText="1"/>
    </x:xf>
    <x:xf numFmtId="0" fontId="7" fillId="2"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0" xfId="0" applyNumberFormat="1" applyFont="1" applyFill="1" applyBorder="1" applyAlignment="1">
      <x:alignment wrapText="1"/>
    </x:xf>
    <x:xf numFmtId="0" fontId="8" fillId="0" borderId="0" xfId="0" applyNumberFormat="1" applyFont="1" applyFill="1" applyBorder="1" applyAlignment="1">
      <x:alignment vertical="top" wrapText="1"/>
    </x:xf>
    <x:xf numFmtId="0" fontId="8" fillId="0" borderId="1" xfId="0" applyNumberFormat="1" applyFont="1" applyFill="1" applyBorder="1"/>
    <x:xf numFmtId="0" fontId="8" fillId="0" borderId="1" xfId="0" applyNumberFormat="1" applyFont="1" applyFill="1" applyBorder="1" applyAlignment="1">
      <x:alignment wrapText="1"/>
    </x:xf>
    <x:xf numFmtId="0" fontId="8" fillId="0" borderId="1"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0" borderId="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8" fillId="0" borderId="0" xfId="0" applyNumberFormat="1" applyFont="1" applyFill="1" applyBorder="1" applyAlignment="1">
      <x:alignment horizontal="center" vertical="top" wrapText="1"/>
    </x:xf>
    <x:xf numFmtId="0" fontId="8" fillId="0" borderId="1" xfId="0" applyNumberFormat="1" applyFont="1" applyFill="1" applyBorder="1" applyAlignment="1">
      <x:alignment horizontal="center" vertical="top" wrapText="1"/>
    </x:xf>
    <x:xf numFmtId="0" fontId="8" fillId="7" borderId="0" xfId="0" applyNumberFormat="1" applyFont="1" applyFill="1" applyBorder="1" applyAlignment="1">
      <x:alignment vertical="top" wrapText="1"/>
    </x:xf>
    <x:xf numFmtId="0" fontId="11" fillId="7" borderId="0" xfId="0" applyNumberFormat="1" applyFont="1" applyFill="1" applyBorder="1" applyAlignment="1">
      <x:alignment vertical="top" wrapText="1"/>
    </x:xf>
    <x:xf numFmtId="0" fontId="11" fillId="7" borderId="0" xfId="0" applyNumberFormat="1" applyFont="1" applyFill="1" applyBorder="1" applyAlignment="1">
      <x:alignment horizontal="center" vertical="top" wrapText="1"/>
    </x:xf>
    <x:xf numFmtId="0" fontId="11" fillId="7" borderId="0" xfId="0" applyNumberFormat="1" applyFont="1" applyFill="1" applyBorder="1" applyAlignment="1">
      <x:alignment horizontal="center" vertical="center" wrapText="1"/>
    </x:xf>
    <x:xf numFmtId="0" fontId="8" fillId="7" borderId="1" xfId="0" applyNumberFormat="1" applyFont="1" applyFill="1" applyBorder="1" applyAlignment="1">
      <x:alignment vertical="top" wrapText="1"/>
    </x:xf>
    <x:xf numFmtId="0" fontId="11" fillId="7" borderId="1" xfId="0" applyNumberFormat="1" applyFont="1" applyFill="1" applyBorder="1" applyAlignment="1">
      <x:alignment vertical="top" wrapText="1"/>
    </x:xf>
    <x:xf numFmtId="0" fontId="11" fillId="7" borderId="1" xfId="0" applyNumberFormat="1" applyFont="1" applyFill="1" applyBorder="1" applyAlignment="1">
      <x:alignment horizontal="center" vertical="top" wrapText="1"/>
    </x:xf>
    <x:xf numFmtId="0" fontId="11" fillId="7" borderId="1" xfId="0" applyNumberFormat="1" applyFont="1" applyFill="1" applyBorder="1" applyAlignment="1">
      <x:alignment horizontal="center" vertical="center" wrapText="1"/>
    </x:xf>
    <x:xf numFmtId="0" fontId="9" fillId="5" borderId="0"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9" fillId="5" borderId="1" xfId="0" applyNumberFormat="1" applyFont="1" applyFill="1" applyBorder="1" applyAlignment="1">
      <x:alignment vertical="top" wrapText="1"/>
    </x:xf>
    <x:xf numFmtId="0" fontId="8" fillId="5"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8" fillId="9" borderId="1" xfId="0" applyNumberFormat="1" applyFont="1" applyFill="1" applyBorder="1" applyAlignment="1">
      <x:alignment vertical="top" wrapText="1"/>
    </x:xf>
    <x:xf numFmtId="0" fontId="0" fillId="0" borderId="0" xfId="0" applyNumberFormat="1" applyFont="1" applyFill="1" applyBorder="1"/>
    <x:xf numFmtId="0" fontId="7" fillId="10" borderId="0" xfId="0" applyNumberFormat="1" applyFont="1" applyFill="1" applyBorder="1" applyAlignment="1">
      <x:alignment horizontal="center" vertical="center" wrapText="1"/>
    </x:xf>
    <x:xf numFmtId="0" fontId="0" fillId="10" borderId="0" xfId="0" applyNumberFormat="1" applyFont="1" applyFill="1" applyBorder="1"/>
    <x:xf numFmtId="0" fontId="7" fillId="10" borderId="0" xfId="0" applyNumberFormat="1" applyFont="1" applyFill="1" applyBorder="1"/>
    <x:xf numFmtId="0" fontId="7" fillId="10" borderId="0" xfId="0" applyNumberFormat="1" applyFont="1" applyFill="1" applyBorder="1" applyAlignment="1">
      <x:alignment wrapText="1"/>
    </x:xf>
    <x:xf numFmtId="0" fontId="7" fillId="10" borderId="0" xfId="0" applyNumberFormat="1" applyFont="1" applyFill="1" applyBorder="1" applyAlignment="1">
      <x:alignment horizontal="center" wrapText="1"/>
    </x:xf>
    <x:xf numFmtId="200" fontId="8" fillId="0" borderId="0" xfId="0" applyNumberFormat="1" applyFont="1" applyFill="1" applyBorder="1" applyAlignment="1">
      <x:alignment horizontal="center" vertical="top" wrapText="1"/>
    </x:xf>
    <x:xf numFmtId="0" fontId="0" fillId="11" borderId="0"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0" fillId="7"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7ebe5704b7a4a13" /><Relationship Type="http://schemas.openxmlformats.org/officeDocument/2006/relationships/theme" Target="/xl/theme/theme1.xml" Id="R909083bf7e904b88" /><Relationship Type="http://schemas.openxmlformats.org/officeDocument/2006/relationships/sharedStrings" Target="/xl/sharedStrings.xml" Id="R959cd113dbf049cd" /><Relationship Type="http://schemas.openxmlformats.org/officeDocument/2006/relationships/worksheet" Target="/xl/worksheets/sheet1.xml" Id="Rd7b8c4292ac1405d" /><Relationship Type="http://schemas.openxmlformats.org/officeDocument/2006/relationships/worksheet" Target="/xl/worksheets/sheet2.xml" Id="R86c153b7945f4f6c" /><Relationship Type="http://schemas.openxmlformats.org/officeDocument/2006/relationships/worksheet" Target="/xl/worksheets/sheet3.xml" Id="R1eeb6f532cb147fd" /></Relationships>
</file>

<file path=xl/tables/table1.xml><?xml version="1.0" encoding="utf-8"?>
<x:table xmlns:x="http://schemas.openxmlformats.org/spreadsheetml/2006/main" id="3" name="RequirementsRTMFinal" displayName="RequirementsRTMFinal" ref="A1:U41" headerRowCount="1" totalsRowCount="0" totalsRowShown="0">
  <x:tableColumns count="21">
    <x:tableColumn id="1" name="Requirement ID"/>
    <x:tableColumn id="2" name="Requirement Title (SRS RTM)"/>
    <x:tableColumn id="3" name="Requirement Type"/>
    <x:tableColumn id="4" name="Priority"/>
    <x:tableColumn id="5" name="Requirement Statement (SRS)"/>
    <x:tableColumn id="6" name="Acceptance Criteria / Measurement (SRS)"/>
    <x:tableColumn id="7" name="Stakeholder / Source (SRS)"/>
    <x:tableColumn id="8" name="Dependencies / Notes (SRS)"/>
    <x:tableColumn id="9" name="Section / Design Spec"/>
    <x:tableColumn id="10" name="Module"/>
    <x:tableColumn id="11" name="Test Cases (SRS RTM)"/>
    <x:tableColumn id="12" name="Test Cases (STP §12)"/>
    <x:tableColumn id="13" name="GitHub Issue URL"/>
    <x:tableColumn id="14" name="Assigned Member"/>
    <x:tableColumn id="15" name="Sprint"/>
    <x:tableColumn id="16" name="Story Points"/>
    <x:tableColumn id="17" name="Verification Status"/>
    <x:tableColumn id="18" name="Traceability Notes"/>
    <x:tableColumn id="19" name="Evidence / Defect Notes"/>
    <x:tableColumn id="20" name="PR Link"/>
    <x:tableColumn id="21" name="Commit SHA(s)"/>
  </x:tableColumns>
  <x:tableStyleInfo name="TableStyleMedium2" showFirstColumn="0" showLastColumn="0" showRowStripes="1" showColumnStripes="0"/>
</x:table>
</file>

<file path=xl/tables/table2.xml><?xml version="1.0" encoding="utf-8"?>
<x:table xmlns:x="http://schemas.openxmlformats.org/spreadsheetml/2006/main" id="4" name="STPTestCaseRegisterFinal" displayName="STPTestCaseRegisterFinal" ref="A1:Q53" headerRowCount="1" totalsRowCount="0" totalsRowShown="0">
  <x:tableColumns count="17">
    <x:tableColumn id="1" name="Test Case ID"/>
    <x:tableColumn id="2" name="Test Level"/>
    <x:tableColumn id="3" name="Test Type"/>
    <x:tableColumn id="4" name="Priority"/>
    <x:tableColumn id="5" name="Requirement ID(s) (STP)"/>
    <x:tableColumn id="6" name="Design / API Reference (STP)"/>
    <x:tableColumn id="7" name="Scenario"/>
    <x:tableColumn id="8" name="Preconditions"/>
    <x:tableColumn id="9" name="Steps (STP Appendix A)"/>
    <x:tableColumn id="10" name="Expected Result (STP Appendix A)"/>
    <x:tableColumn id="11" name="Execution Status"/>
    <x:tableColumn id="12" name="Actual Result / Evidence"/>
    <x:tableColumn id="13" name="Defect ID / Notes"/>
    <x:tableColumn id="14" name="Author"/>
    <x:tableColumn id="15" name="Independent Executor"/>
    <x:tableColumn id="16" name="Sprint"/>
    <x:tableColumn id="17" name="GitHub Issue #"/>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9d0dac828bb94daf" /></Relationships>
</file>

<file path=xl/worksheets/_rels/sheet3.xml.rels>&#65279;<?xml version="1.0" encoding="utf-8"?><Relationships xmlns="http://schemas.openxmlformats.org/package/2006/relationships"><Relationship Type="http://schemas.openxmlformats.org/officeDocument/2006/relationships/table" Target="/xl/tables/table2.xml" Id="R92b9509726d149a9" /></Relationships>
</file>

<file path=xl/worksheets/sheet1.xml><?xml version="1.0" encoding="utf-8"?>
<x:worksheet xmlns:x="http://schemas.openxmlformats.org/spreadsheetml/2006/main">
  <x:sheetViews>
    <x:sheetView workbookViewId="0">
      <x:pane ySplit="2" topLeftCell="A3" activePane="bottomLeft" state="frozen"/>
    </x:sheetView>
  </x:sheetViews>
  <x:sheetFormatPr defaultRowHeight="15"/>
  <x:cols>
    <x:col min="1" max="1" width="30" hidden="0" customWidth="1"/>
    <x:col min="2" max="2" width="18" hidden="0" customWidth="1"/>
    <x:col min="3" max="3" width="4" hidden="0" customWidth="1"/>
    <x:col min="4" max="4" width="9" hidden="0" customWidth="1"/>
    <x:col min="5" max="5" width="60" hidden="0" customWidth="1"/>
    <x:col min="6" max="6" width="24" hidden="0" customWidth="1"/>
  </x:cols>
  <x:sheetData>
    <x:row r="1" ht="32" customHeight="1">
      <x:c r="A1" s="5" t="str">
        <x:v>INSURANCE WORKFLOW AUTOMATION SYSTEM | TRACEABILITY WORKBOOK</x:v>
      </x:c>
      <x:c r="B1" s="5"/>
      <x:c r="C1" s="5"/>
      <x:c r="D1" s="5"/>
      <x:c r="E1" s="5"/>
      <x:c r="F1" s="5"/>
    </x:row>
    <x:row r="2" ht="28" customHeight="1">
      <x:c r="A2" s="13" t="str">
        <x:v>Corrected from the uploaded SRS and STP • Team 11 • Use this workbook as a live QA tracking file</x:v>
      </x:c>
      <x:c r="B2" s="13"/>
      <x:c r="C2" s="13"/>
      <x:c r="D2" s="13"/>
      <x:c r="E2" s="13"/>
      <x:c r="F2" s="13"/>
    </x:row>
    <x:row r="4">
      <x:c r="A4" s="22" t="str">
        <x:v>Workbook Metric</x:v>
      </x:c>
      <x:c r="B4" s="22" t="str">
        <x:v>Count</x:v>
      </x:c>
      <x:c r="D4" s="22" t="str">
        <x:v>How to use this workbook</x:v>
      </x:c>
      <x:c r="E4" s="22"/>
      <x:c r="F4" s="22"/>
    </x:row>
    <x:row r="5" ht="53" customHeight="1">
      <x:c r="A5" s="41" t="str">
        <x:v>Unique SRS requirements</x:v>
      </x:c>
      <x:c r="B5" s="46" t="n">
        <x:f>COUNTA('Requirements RTM'!A2:A41)</x:f>
        <x:v>40</x:v>
      </x:c>
      <x:c r="D5" s="53" t="str">
        <x:v>01</x:v>
      </x:c>
      <x:c r="E5" s="58" t="str">
        <x:v>Requirements RTM retains full SRS statements and acceptance criteria, both SRS §8 and STP §12 test mappings, owner, sprint allocation, issue URL, and PR/commit evidence fields.</x:v>
      </x:c>
      <x:c r="F5" s="58" t="str"/>
    </x:row>
    <x:row r="6" ht="53" customHeight="1">
      <x:c r="A6" s="41" t="str">
        <x:v>Functional requirements</x:v>
      </x:c>
      <x:c r="B6" s="46" t="n">
        <x:f>COUNTIF('Requirements RTM'!C2:C41,"Functional")</x:f>
        <x:v>25</x:v>
      </x:c>
      <x:c r="D6" s="53" t="str">
        <x:v>02</x:v>
      </x:c>
      <x:c r="E6" s="58" t="str">
        <x:v>Where the SRS RTM and STP §12 test mappings differ, both are retained and each added coverage item is listed in Traceability Notes. STP §12 remains the working authoritative mapping.</x:v>
      </x:c>
      <x:c r="F6" s="58" t="str"/>
    </x:row>
    <x:row r="7" ht="53" customHeight="1">
      <x:c r="A7" s="41" t="str">
        <x:v>Non-functional requirements</x:v>
      </x:c>
      <x:c r="B7" s="46" t="n">
        <x:f>COUNTIF('Requirements RTM'!C2:C41,"Non-functional")</x:f>
        <x:v>7</x:v>
      </x:c>
      <x:c r="D7" s="53" t="str">
        <x:v>03</x:v>
      </x:c>
      <x:c r="E7" s="58" t="str">
        <x:v>Test Case Register contains all 52 Appendix A cases, including level, type, priority, preconditions, steps, expected results, author, independent executor/witness, execution sprint, and GitHub issue numbers.</x:v>
      </x:c>
      <x:c r="F7" s="58" t="str"/>
    </x:row>
    <x:row r="8" ht="53" customHeight="1">
      <x:c r="A8" s="41" t="str">
        <x:v>Security requirements</x:v>
      </x:c>
      <x:c r="B8" s="46" t="n">
        <x:f>COUNTIF('Requirements RTM'!C2:C41,"Security")</x:f>
        <x:v>8</x:v>
      </x:c>
      <x:c r="D8" s="53" t="str">
        <x:v>04</x:v>
      </x:c>
      <x:c r="E8" s="58" t="str">
        <x:v>Verification Status and Execution Status begin as Not Run. Update them only after running the relevant tests and recording actual evidence.</x:v>
      </x:c>
      <x:c r="F8" s="58" t="str"/>
    </x:row>
    <x:row r="9" ht="64" customHeight="1">
      <x:c r="A9" s="41" t="str">
        <x:v>Detailed STP test cases</x:v>
      </x:c>
      <x:c r="B9" s="46" t="n">
        <x:f>COUNTA('Test Case Register'!A2:A53)</x:f>
        <x:v>52</x:v>
      </x:c>
      <x:c r="D9" s="53" t="str">
        <x:v>05</x:v>
      </x:c>
      <x:c r="E9" s="58" t="str">
        <x:v>GitHub issue URLs are populated from issue numbers visible in the repository screenshots; this workbook has not live-opened every link. Click-check all 40 before submission. PR #31 and PR #41 were setup pull requests and are intentionally not requirement rows; issue #26 is the closed duplicate and #25 is the canonical INS-SR-006 issue.</x:v>
      </x:c>
      <x:c r="F9" s="58" t="str"/>
    </x:row>
    <x:row r="10" ht="64" customHeight="1">
      <x:c r="A10" s="41" t="str">
        <x:v>Requirements with STP mapping</x:v>
      </x:c>
      <x:c r="B10" s="46" t="n">
        <x:f>COUNTIF('Requirements RTM'!L2:L41,"&lt;&gt;")</x:f>
        <x:v>40</x:v>
      </x:c>
      <x:c r="D10" s="53" t="str">
        <x:v>06</x:v>
      </x:c>
      <x:c r="E10" s="58" t="str">
        <x:v>Sprint values follow the agreed plan: Sprint 1, Sprint 1 → Sprint 2 (carryover), Sprint 2, or Sprint 2 (Tier B / deferrable). Thirty-four Story Points cells remain blank intentionally pending team estimation; the six existing Samarth estimates are preserved. Add PR links and commit SHAs only after real PR merges.</x:v>
      </x:c>
      <x:c r="F10" s="58" t="str"/>
    </x:row>
    <x:row r="12">
      <x:c r="A12" s="30" t="str">
        <x:v>Source Documents and Accuracy Notes</x:v>
      </x:c>
      <x:c r="B12" s="30"/>
      <x:c r="C12" s="30"/>
      <x:c r="D12" s="30"/>
      <x:c r="E12" s="30"/>
      <x:c r="F12" s="30"/>
    </x:row>
    <x:row r="13">
      <x:c r="A13" s="34" t="str">
        <x:v>Source</x:v>
      </x:c>
      <x:c r="B13" s="34" t="str">
        <x:v>How it is used</x:v>
      </x:c>
      <x:c r="C13" s="34" t="str"/>
      <x:c r="D13" s="34" t="str"/>
      <x:c r="E13" s="34" t="str"/>
      <x:c r="F13" s="34" t="str"/>
    </x:row>
    <x:row r="14" ht="38" customHeight="1">
      <x:c r="A14" s="53" t="str">
        <x:v>SRS(1).docx</x:v>
      </x:c>
      <x:c r="B14" s="58" t="str">
        <x:v>Requirement titles, statements, priorities, acceptance criteria/measurements, stakeholders, dependencies, section refs and modules.</x:v>
      </x:c>
      <x:c r="C14" s="58" t="str"/>
      <x:c r="D14" s="58" t="str"/>
      <x:c r="E14" s="58" t="str"/>
      <x:c r="F14" s="58" t="str"/>
    </x:row>
    <x:row r="15" ht="38" customHeight="1">
      <x:c r="A15" s="53" t="str">
        <x:v>STP(1).docx</x:v>
      </x:c>
      <x:c r="B15" s="58" t="str">
        <x:v>Section 12 mapping from requirements to test cases; Appendix A detailed specifications for 52 test cases.</x:v>
      </x:c>
      <x:c r="C15" s="58" t="str"/>
      <x:c r="D15" s="58" t="str"/>
      <x:c r="E15" s="58" t="str"/>
      <x:c r="F15" s="58" t="str"/>
    </x:row>
    <x:row r="16" ht="38" customHeight="1">
      <x:c r="A16" s="53" t="str">
        <x:v>Status integrity</x:v>
      </x:c>
      <x:c r="B16" s="58" t="str">
        <x:v>No execution result has been represented as passed. All unexecuted test cases and requirements remain Not Run.</x:v>
      </x:c>
      <x:c r="C16" s="58" t="str"/>
      <x:c r="D16" s="58" t="str"/>
      <x:c r="E16" s="58" t="str"/>
      <x:c r="F16" s="58" t="str"/>
    </x:row>
  </x:sheetData>
  <x:mergeCells>
    <x:mergeCell ref="A1:F1"/>
    <x:mergeCell ref="A2:F2"/>
    <x:mergeCell ref="D4:F4"/>
    <x:mergeCell ref="E5:F5"/>
    <x:mergeCell ref="E6:F6"/>
    <x:mergeCell ref="E7:F7"/>
    <x:mergeCell ref="E8:F8"/>
    <x:mergeCell ref="E9:F9"/>
    <x:mergeCell ref="E10:F10"/>
    <x:mergeCell ref="A12:F12"/>
    <x:mergeCell ref="B13:F13"/>
    <x:mergeCell ref="B14:F14"/>
    <x:mergeCell ref="B15:F15"/>
    <x:mergeCell ref="B16:F16"/>
  </x:mergeCells>
  <x:pageMargins left="0.7" right="0.7" top="0.75" bottom="0.75" header="0.3" footer="0.3"/>
</x:worksheet>
</file>

<file path=xl/worksheets/sheet2.xml><?xml version="1.0" encoding="utf-8"?>
<x:worksheet xmlns:x="http://schemas.openxmlformats.org/spreadsheetml/2006/main">
  <x:sheetViews>
    <x:sheetView workbookViewId="0">
      <x:pane xSplit="2" ySplit="1" topLeftCell="C2" activePane="bottomRight" state="frozen"/>
    </x:sheetView>
  </x:sheetViews>
  <x:sheetFormatPr defaultRowHeight="15"/>
  <x:cols>
    <x:col min="1" max="1" width="16" hidden="0" customWidth="1"/>
    <x:col min="2" max="2" width="34" hidden="0" customWidth="1"/>
    <x:col min="3" max="3" width="17" hidden="0" customWidth="1"/>
    <x:col min="4" max="4" width="12" hidden="0" customWidth="1"/>
    <x:col min="5" max="5" width="62" hidden="0" customWidth="1"/>
    <x:col min="6" max="6" width="57" hidden="0" customWidth="1"/>
    <x:col min="7" max="7" width="28" hidden="0" customWidth="1"/>
    <x:col min="8" max="8" width="32" hidden="0" customWidth="1"/>
    <x:col min="9" max="9" width="22" hidden="0" customWidth="1"/>
    <x:col min="10" max="10" width="26" hidden="0" customWidth="1"/>
    <x:col min="11" max="11" width="40" hidden="0" customWidth="1"/>
    <x:col min="12" max="12" width="48" hidden="0" customWidth="1"/>
    <x:col min="13" max="13" width="52" hidden="0" customWidth="1"/>
    <x:col min="14" max="14" width="25" hidden="0" customWidth="1"/>
    <x:col min="15" max="15" width="35" hidden="0" customWidth="1"/>
    <x:col min="16" max="16" width="13" hidden="0" customWidth="1"/>
    <x:col min="17" max="17" width="17" hidden="0" customWidth="1"/>
    <x:col min="18" max="18" width="40" hidden="0" customWidth="1"/>
    <x:col min="19" max="19" width="32" hidden="0" customWidth="1"/>
    <x:col min="20" max="20" width="34" hidden="0" customWidth="1"/>
    <x:col min="21" max="21" width="25" hidden="0" customWidth="1"/>
  </x:cols>
  <x:sheetData>
    <x:row r="1" ht="42" customHeight="1">
      <x:c r="A1" s="103" t="str">
        <x:v>Requirement ID</x:v>
      </x:c>
      <x:c r="B1" s="103" t="str">
        <x:v>Requirement Title (SRS RTM)</x:v>
      </x:c>
      <x:c r="C1" s="103" t="str">
        <x:v>Requirement Type</x:v>
      </x:c>
      <x:c r="D1" s="103" t="str">
        <x:v>Priority</x:v>
      </x:c>
      <x:c r="E1" s="103" t="str">
        <x:v>Requirement Statement (SRS)</x:v>
      </x:c>
      <x:c r="F1" s="103" t="str">
        <x:v>Acceptance Criteria / Measurement (SRS)</x:v>
      </x:c>
      <x:c r="G1" s="103" t="str">
        <x:v>Stakeholder / Source (SRS)</x:v>
      </x:c>
      <x:c r="H1" s="103" t="str">
        <x:v>Dependencies / Notes (SRS)</x:v>
      </x:c>
      <x:c r="I1" s="103" t="str">
        <x:v>Section / Design Spec</x:v>
      </x:c>
      <x:c r="J1" s="103" t="str">
        <x:v>Module</x:v>
      </x:c>
      <x:c r="K1" s="103" t="str">
        <x:v>Test Cases (SRS RTM)</x:v>
      </x:c>
      <x:c r="L1" s="103" t="str">
        <x:v>Test Cases (STP §12)</x:v>
      </x:c>
      <x:c r="M1" s="103" t="str">
        <x:v>GitHub Issue URL</x:v>
      </x:c>
      <x:c r="N1" s="103" t="str">
        <x:v>Assigned Member</x:v>
      </x:c>
      <x:c r="O1" s="103" t="str">
        <x:v>Sprint</x:v>
      </x:c>
      <x:c r="P1" s="103" t="str">
        <x:v>Story Points</x:v>
      </x:c>
      <x:c r="Q1" s="103" t="str">
        <x:v>Verification Status</x:v>
      </x:c>
      <x:c r="R1" s="103" t="str">
        <x:v>Traceability Notes</x:v>
      </x:c>
      <x:c r="S1" s="103" t="str">
        <x:v>Evidence / Defect Notes</x:v>
      </x:c>
      <x:c r="T1" s="103" t="str">
        <x:v>PR Link</x:v>
      </x:c>
      <x:c r="U1" s="103" t="str">
        <x:v>Commit SHA(s)</x:v>
      </x:c>
    </x:row>
    <x:row r="2" ht="102" customHeight="1">
      <x:c r="A2" s="90" t="str">
        <x:v>INS-F-001</x:v>
      </x:c>
      <x:c r="B2" s="91" t="str">
        <x:v>Register / login with roles</x:v>
      </x:c>
      <x:c r="C2" s="91" t="str">
        <x:v>Functional</x:v>
      </x:c>
      <x:c r="D2" s="91" t="str">
        <x:v>High</x:v>
      </x:c>
      <x:c r="E2" s="72" t="str">
        <x:v>The system shall allow users to register and log in, and shall assign one role (Customer, Insurer Admin, Underwriter, Claims Officer, System Admin) that controls the features they can access. Insurer Admin, Underwriter and Claims Officer accounts shall be linked to one insurer.</x:v>
      </x:c>
      <x:c r="F2" s="72" t="str">
        <x:v>AC-INS-F-001: Valid credentials open the dashboard of the assigned role; a Customer cannot open an Insurer Admin page; a staff account without an insurer cannot be created. Test: TC-Acc-01, TC-Acc-02</x:v>
      </x:c>
      <x:c r="G2" s="72" t="str">
        <x:v>All users (UC-01)</x:v>
      </x:c>
      <x:c r="H2" s="72" t="str">
        <x:v>Uses INS-SR-002, INS-SR-003</x:v>
      </x:c>
      <x:c r="I2" s="72" t="str">
        <x:v>4.1 / DS-User-01</x:v>
      </x:c>
      <x:c r="J2" s="72" t="str">
        <x:v>User &amp; KYC Module</x:v>
      </x:c>
      <x:c r="K2" s="72" t="str">
        <x:v>TC-Acc-01, TC-Acc-02</x:v>
      </x:c>
      <x:c r="L2" s="72" t="str">
        <x:v>TC-Acc-01, TC-Acc-02</x:v>
      </x:c>
      <x:c r="M2" s="78" t="str">
        <x:v>https://github.com/Thijil-Thejaswi-MN/Team-11/issues/15</x:v>
      </x:c>
      <x:c r="N2" s="72" t="str">
        <x:v>Sharana</x:v>
      </x:c>
      <x:c r="O2" s="110" t="str">
        <x:v>Sprint 1</x:v>
      </x:c>
      <x:c r="P2" s="108"/>
      <x:c r="Q2" s="84" t="str">
        <x:v>Not Run</x:v>
      </x:c>
      <x:c r="R2" s="72" t="str">
        <x:v>Mappings agree</x:v>
      </x:c>
      <x:c r="S2" s="72"/>
      <x:c r="T2" s="109" t="str"/>
      <x:c r="U2" s="109" t="str"/>
    </x:row>
    <x:row r="3" ht="74" customHeight="1">
      <x:c r="A3" s="90" t="str">
        <x:v>INS-F-002</x:v>
      </x:c>
      <x:c r="B3" s="91" t="str">
        <x:v>KYC upload and verification</x:v>
      </x:c>
      <x:c r="C3" s="91" t="str">
        <x:v>Functional</x:v>
      </x:c>
      <x:c r="D3" s="91" t="str">
        <x:v>High</x:v>
      </x:c>
      <x:c r="E3" s="72" t="str">
        <x:v>The system shall let a Customer upload identity documents (Aadhaar/PAN) and shall verify them through the KYC service. An application shall not proceed until KYC status is 'Verified'.</x:v>
      </x:c>
      <x:c r="F3" s="72" t="str">
        <x:v>AC-INS-F-002: Valid mock PAN gives status Verified; an invalid PAN gives Rejected and blocks Buy Policy. Test: TC-KYC-01</x:v>
      </x:c>
      <x:c r="G3" s="72" t="str">
        <x:v>Customer, Regulator (UC-02, UC-26)</x:v>
      </x:c>
      <x:c r="H3" s="72" t="str">
        <x:v>KYC service is mocked (Assumption A-01)</x:v>
      </x:c>
      <x:c r="I3" s="72" t="str">
        <x:v>4.1 / DS-User-02</x:v>
      </x:c>
      <x:c r="J3" s="72" t="str">
        <x:v>User &amp; KYC Module</x:v>
      </x:c>
      <x:c r="K3" s="72" t="str">
        <x:v>TC-KYC-01</x:v>
      </x:c>
      <x:c r="L3" s="72" t="str">
        <x:v>TC-KYC-01</x:v>
      </x:c>
      <x:c r="M3" s="78" t="str">
        <x:v>https://github.com/Thijil-Thejaswi-MN/Team-11/issues/16</x:v>
      </x:c>
      <x:c r="N3" s="72" t="str">
        <x:v>Sharana</x:v>
      </x:c>
      <x:c r="O3" s="110" t="str">
        <x:v>Sprint 1</x:v>
      </x:c>
      <x:c r="P3" s="108"/>
      <x:c r="Q3" s="84" t="str">
        <x:v>Not Run</x:v>
      </x:c>
      <x:c r="R3" s="72" t="str">
        <x:v>Mappings agree</x:v>
      </x:c>
      <x:c r="S3" s="72"/>
      <x:c r="T3" s="109" t="str"/>
      <x:c r="U3" s="109" t="str"/>
    </x:row>
    <x:row r="4" ht="88" customHeight="1">
      <x:c r="A4" s="90" t="str">
        <x:v>INS-F-003</x:v>
      </x:c>
      <x:c r="B4" s="91" t="str">
        <x:v>Manage plans and premium rules</x:v>
      </x:c>
      <x:c r="C4" s="91" t="str">
        <x:v>Functional</x:v>
      </x:c>
      <x:c r="D4" s="91" t="str">
        <x:v>High</x:v>
      </x:c>
      <x:c r="E4" s="72" t="str">
        <x:v>The system shall allow an Insurer Admin to create, edit and deactivate plans with these attributes: plan type (2-wheeler, 4-wheeler, health), premium rating rules, coverage amount, deductible, waiting period (health only) and optional add-ons.</x:v>
      </x:c>
      <x:c r="F4" s="72" t="str">
        <x:v>AC-INS-F-003: A newly created plan appears in Browse Plans; a deactivated plan does not. Test: TC-Plan-01</x:v>
      </x:c>
      <x:c r="G4" s="72" t="str">
        <x:v>Insurer Admin (UC-03)</x:v>
      </x:c>
      <x:c r="H4" s="72" t="str">
        <x:v>None</x:v>
      </x:c>
      <x:c r="I4" s="72" t="str">
        <x:v>4.2 / DS-Plan-01</x:v>
      </x:c>
      <x:c r="J4" s="72" t="str">
        <x:v>Plan Management Module</x:v>
      </x:c>
      <x:c r="K4" s="72" t="str">
        <x:v>TC-Plan-01</x:v>
      </x:c>
      <x:c r="L4" s="72" t="str">
        <x:v>TC-Plan-01</x:v>
      </x:c>
      <x:c r="M4" s="78" t="str">
        <x:v>https://github.com/Thijil-Thejaswi-MN/Team-11/issues/17</x:v>
      </x:c>
      <x:c r="N4" s="72" t="str">
        <x:v>Sharana</x:v>
      </x:c>
      <x:c r="O4" s="110" t="str">
        <x:v>Sprint 1</x:v>
      </x:c>
      <x:c r="P4" s="108"/>
      <x:c r="Q4" s="84" t="str">
        <x:v>Not Run</x:v>
      </x:c>
      <x:c r="R4" s="72" t="str">
        <x:v>Mappings agree</x:v>
      </x:c>
      <x:c r="S4" s="72"/>
      <x:c r="T4" s="109" t="str"/>
      <x:c r="U4" s="109" t="str"/>
    </x:row>
    <x:row r="5" ht="74" customHeight="1">
      <x:c r="A5" s="90" t="str">
        <x:v>INS-F-004</x:v>
      </x:c>
      <x:c r="B5" s="91" t="str">
        <x:v>Browse and compare plans</x:v>
      </x:c>
      <x:c r="C5" s="91" t="str">
        <x:v>Functional</x:v>
      </x:c>
      <x:c r="D5" s="91" t="str">
        <x:v>High</x:v>
      </x:c>
      <x:c r="E5" s="72" t="str">
        <x:v>The system shall let a Customer browse plans from all insurers and compare up to three plans side by side on premium, coverage amount, deductible, waiting period and add-ons.</x:v>
      </x:c>
      <x:c r="F5" s="72" t="str">
        <x:v>AC-INS-F-004: Selecting 3 plans shows one comparison table with all attributes. Test: TC-Plan-02</x:v>
      </x:c>
      <x:c r="G5" s="72" t="str">
        <x:v>Customer (UC-04)</x:v>
      </x:c>
      <x:c r="H5" s="72" t="str">
        <x:v>INS-F-003</x:v>
      </x:c>
      <x:c r="I5" s="72" t="str">
        <x:v>4.2 / DS-Plan-02</x:v>
      </x:c>
      <x:c r="J5" s="72" t="str">
        <x:v>Plan Management Module</x:v>
      </x:c>
      <x:c r="K5" s="72" t="str">
        <x:v>TC-Plan-02</x:v>
      </x:c>
      <x:c r="L5" s="72" t="str">
        <x:v>TC-Plan-02</x:v>
      </x:c>
      <x:c r="M5" s="78" t="str">
        <x:v>https://github.com/Thijil-Thejaswi-MN/Team-11/issues/18</x:v>
      </x:c>
      <x:c r="N5" s="72" t="str">
        <x:v>Sharana</x:v>
      </x:c>
      <x:c r="O5" s="110" t="str">
        <x:v>Sprint 1</x:v>
      </x:c>
      <x:c r="P5" s="108"/>
      <x:c r="Q5" s="84" t="str">
        <x:v>Not Run</x:v>
      </x:c>
      <x:c r="R5" s="72" t="str">
        <x:v>Mappings agree</x:v>
      </x:c>
      <x:c r="S5" s="72"/>
      <x:c r="T5" s="109" t="str"/>
      <x:c r="U5" s="109" t="str"/>
    </x:row>
    <x:row r="6" ht="74" customHeight="1">
      <x:c r="A6" s="90" t="str">
        <x:v>INS-F-005</x:v>
      </x:c>
      <x:c r="B6" s="91" t="str">
        <x:v>Motor quote</x:v>
      </x:c>
      <x:c r="C6" s="91" t="str">
        <x:v>Functional</x:v>
      </x:c>
      <x:c r="D6" s="91" t="str">
        <x:v>High</x:v>
      </x:c>
      <x:c r="E6" s="72" t="str">
        <x:v>The system shall calculate a motor (2-wheeler / 4-wheeler) premium quote from vehicle type, make/model, registration year, city, IDV and selected add-ons, using the insurer's rating rules.</x:v>
      </x:c>
      <x:c r="F6" s="72" t="str">
        <x:v>AC-INS-F-005: Example: IDV Rs 4,00,000, plan base rate 2% gives a quote that matches the rating rule; quote shown within 5 s. Test: TC-Quote-01</x:v>
      </x:c>
      <x:c r="G6" s="72" t="str">
        <x:v>Customer (UC-05)</x:v>
      </x:c>
      <x:c r="H6" s="72" t="str">
        <x:v>INS-F-003; INS-NF-001</x:v>
      </x:c>
      <x:c r="I6" s="72" t="str">
        <x:v>4.3 / DS-Quote-01</x:v>
      </x:c>
      <x:c r="J6" s="72" t="str">
        <x:v>Quote &amp; Purchase Module</x:v>
      </x:c>
      <x:c r="K6" s="72" t="str">
        <x:v>TC-Quote-01</x:v>
      </x:c>
      <x:c r="L6" s="72" t="str">
        <x:v>TC-Quote-01</x:v>
      </x:c>
      <x:c r="M6" s="78" t="str">
        <x:v>https://github.com/Thijil-Thejaswi-MN/Team-11/issues/1</x:v>
      </x:c>
      <x:c r="N6" s="72" t="str">
        <x:v>Thijil Thejaswi M.N.</x:v>
      </x:c>
      <x:c r="O6" s="110" t="str">
        <x:v>Sprint 1</x:v>
      </x:c>
      <x:c r="P6" s="108"/>
      <x:c r="Q6" s="84" t="str">
        <x:v>Not Run</x:v>
      </x:c>
      <x:c r="R6" s="72" t="str">
        <x:v>Mappings agree</x:v>
      </x:c>
      <x:c r="S6" s="72"/>
      <x:c r="T6" s="109" t="str"/>
      <x:c r="U6" s="109" t="str"/>
    </x:row>
    <x:row r="7" ht="74" customHeight="1">
      <x:c r="A7" s="90" t="str">
        <x:v>INS-F-006</x:v>
      </x:c>
      <x:c r="B7" s="91" t="str">
        <x:v>Health quote</x:v>
      </x:c>
      <x:c r="C7" s="91" t="str">
        <x:v>Functional</x:v>
      </x:c>
      <x:c r="D7" s="91" t="str">
        <x:v>High</x:v>
      </x:c>
      <x:c r="E7" s="72" t="str">
        <x:v>The system shall calculate a health premium quote from the ages of the members to be covered, number of members, sum insured and pre-existing condition declaration (Yes/No).</x:v>
      </x:c>
      <x:c r="F7" s="72" t="str">
        <x:v>AC-INS-F-006: Increasing the sum insured or the age band increases the premium as per the rating rule. Test: TC-Quote-02</x:v>
      </x:c>
      <x:c r="G7" s="72" t="str">
        <x:v>Customer (UC-05)</x:v>
      </x:c>
      <x:c r="H7" s="72" t="str">
        <x:v>INS-F-003; INS-NF-001</x:v>
      </x:c>
      <x:c r="I7" s="72" t="str">
        <x:v>4.3 / DS-Quote-02</x:v>
      </x:c>
      <x:c r="J7" s="72" t="str">
        <x:v>Quote &amp; Purchase Module</x:v>
      </x:c>
      <x:c r="K7" s="72" t="str">
        <x:v>TC-Quote-02</x:v>
      </x:c>
      <x:c r="L7" s="72" t="str">
        <x:v>TC-Quote-02</x:v>
      </x:c>
      <x:c r="M7" s="78" t="str">
        <x:v>https://github.com/Thijil-Thejaswi-MN/Team-11/issues/5</x:v>
      </x:c>
      <x:c r="N7" s="72" t="str">
        <x:v>Thijil Thejaswi M.N.</x:v>
      </x:c>
      <x:c r="O7" s="110" t="str">
        <x:v>Sprint 1</x:v>
      </x:c>
      <x:c r="P7" s="108"/>
      <x:c r="Q7" s="84" t="str">
        <x:v>Not Run</x:v>
      </x:c>
      <x:c r="R7" s="72" t="str">
        <x:v>Mappings agree</x:v>
      </x:c>
      <x:c r="S7" s="72"/>
      <x:c r="T7" s="109" t="str"/>
      <x:c r="U7" s="109" t="str"/>
    </x:row>
    <x:row r="8" ht="74" customHeight="1">
      <x:c r="A8" s="90" t="str">
        <x:v>INS-F-007</x:v>
      </x:c>
      <x:c r="B8" s="91" t="str">
        <x:v>Submit application</x:v>
      </x:c>
      <x:c r="C8" s="91" t="str">
        <x:v>Functional</x:v>
      </x:c>
      <x:c r="D8" s="91" t="str">
        <x:v>High</x:v>
      </x:c>
      <x:c r="E8" s="72" t="str">
        <x:v>The system shall let a Customer with verified KYC submit an application for a quoted plan, including the required documents, and shall record the application with status 'Submitted'.</x:v>
      </x:c>
      <x:c r="F8" s="72" t="str">
        <x:v>AC-INS-F-007: Submission creates an application ID and starts underwriting; a customer without verified KYC is blocked. Test: TC-App-01</x:v>
      </x:c>
      <x:c r="G8" s="72" t="str">
        <x:v>Customer (UC-06, UC-26)</x:v>
      </x:c>
      <x:c r="H8" s="72" t="str">
        <x:v>INS-F-002; INS-F-005/006</x:v>
      </x:c>
      <x:c r="I8" s="72" t="str">
        <x:v>4.3 / DS-Quote-03</x:v>
      </x:c>
      <x:c r="J8" s="72" t="str">
        <x:v>Quote &amp; Purchase Module</x:v>
      </x:c>
      <x:c r="K8" s="72" t="str">
        <x:v>TC-App-01</x:v>
      </x:c>
      <x:c r="L8" s="72" t="str">
        <x:v>TC-App-01</x:v>
      </x:c>
      <x:c r="M8" s="78" t="str">
        <x:v>https://github.com/Thijil-Thejaswi-MN/Team-11/issues/2</x:v>
      </x:c>
      <x:c r="N8" s="72" t="str">
        <x:v>Samarth</x:v>
      </x:c>
      <x:c r="O8" s="110" t="str">
        <x:v>Sprint 1</x:v>
      </x:c>
      <x:c r="P8" s="108" t="n">
        <x:v>3</x:v>
      </x:c>
      <x:c r="Q8" s="84" t="str">
        <x:v>Not Run</x:v>
      </x:c>
      <x:c r="R8" s="72" t="str">
        <x:v>Mappings agree</x:v>
      </x:c>
      <x:c r="S8" s="72"/>
      <x:c r="T8" s="109" t="str"/>
      <x:c r="U8" s="109" t="str"/>
    </x:row>
    <x:row r="9" ht="74" customHeight="1">
      <x:c r="A9" s="90" t="str">
        <x:v>INS-F-008</x:v>
      </x:c>
      <x:c r="B9" s="91" t="str">
        <x:v>Online premium payment</x:v>
      </x:c>
      <x:c r="C9" s="91" t="str">
        <x:v>Functional</x:v>
      </x:c>
      <x:c r="D9" s="91" t="str">
        <x:v>High</x:v>
      </x:c>
      <x:c r="E9" s="72" t="str">
        <x:v>The system shall request payment through the payment gateway only for approved applications and shall record the payment status (Success / Failed). A failed payment shall not issue a policy.</x:v>
      </x:c>
      <x:c r="F9" s="72" t="str">
        <x:v>AC-INS-F-008: Successful mock payment marks the application 'Paid'; failed payment allows retry and issues nothing. Test: TC-Pay-01, TC-Pay-02</x:v>
      </x:c>
      <x:c r="G9" s="72" t="str">
        <x:v>Customer, Payment Gateway (UC-07)</x:v>
      </x:c>
      <x:c r="H9" s="72" t="str">
        <x:v>INS-F-010/011; gateway is simulated (A-02)</x:v>
      </x:c>
      <x:c r="I9" s="72" t="str">
        <x:v>4.5 / DS-Pay-01</x:v>
      </x:c>
      <x:c r="J9" s="72" t="str">
        <x:v>Payment Adapter</x:v>
      </x:c>
      <x:c r="K9" s="72" t="str">
        <x:v>TC-Pay-01, TC-Pay-02</x:v>
      </x:c>
      <x:c r="L9" s="72" t="str">
        <x:v>TC-Pay-01, TC-Pay-02, TC-Pay-03, TC-Pay-04</x:v>
      </x:c>
      <x:c r="M9" s="78" t="str">
        <x:v>https://github.com/Thijil-Thejaswi-MN/Team-11/issues/42</x:v>
      </x:c>
      <x:c r="N9" s="72" t="str">
        <x:v>Raghunandan-Kotary</x:v>
      </x:c>
      <x:c r="O9" s="110" t="str">
        <x:v>Sprint 1</x:v>
      </x:c>
      <x:c r="P9" s="108"/>
      <x:c r="Q9" s="84" t="str">
        <x:v>Not Run</x:v>
      </x:c>
      <x:c r="R9" s="82" t="str">
        <x:v>STP adds/extends test coverage: TC-Pay-03, TC-Pay-04</x:v>
      </x:c>
      <x:c r="S9" s="72" t="str"/>
      <x:c r="T9" s="109" t="str"/>
      <x:c r="U9" s="109" t="str"/>
    </x:row>
    <x:row r="10" ht="102" customHeight="1">
      <x:c r="A10" s="90" t="str">
        <x:v>INS-F-009</x:v>
      </x:c>
      <x:c r="B10" s="91" t="str">
        <x:v>Generate policy and document</x:v>
      </x:c>
      <x:c r="C10" s="91" t="str">
        <x:v>Functional</x:v>
      </x:c>
      <x:c r="D10" s="91" t="str">
        <x:v>High</x:v>
      </x:c>
      <x:c r="E10" s="72" t="str">
        <x:v>The system shall generate a unique policy number and a policy document (PDF) after successful payment and shall make the policy visible under 'My Policies'.</x:v>
      </x:c>
      <x:c r="F10" s="72" t="str">
        <x:v>AC-INS-F-009: Policy number is unique; PDF contains customer, plan, premium, coverage and validity dates. If issuing fails after a successful payment, the payment stays recorded, the policy is issued on retry and the customer is not charged again. Test: TC-Pol-01</x:v>
      </x:c>
      <x:c r="G10" s="72" t="str">
        <x:v>Customer, Insurer (UC-25, UC-10)</x:v>
      </x:c>
      <x:c r="H10" s="72" t="str">
        <x:v>INS-F-008</x:v>
      </x:c>
      <x:c r="I10" s="72" t="str">
        <x:v>4.5 / DS-Policy-01</x:v>
      </x:c>
      <x:c r="J10" s="72" t="str">
        <x:v>Quote &amp; Purchase Module</x:v>
      </x:c>
      <x:c r="K10" s="72" t="str">
        <x:v>TC-Pol-01</x:v>
      </x:c>
      <x:c r="L10" s="72" t="str">
        <x:v>TC-Pay-01, TC-Pay-04, TC-Pol-01, TC-Ren-02</x:v>
      </x:c>
      <x:c r="M10" s="78" t="str">
        <x:v>https://github.com/Thijil-Thejaswi-MN/Team-11/issues/3</x:v>
      </x:c>
      <x:c r="N10" s="72" t="str">
        <x:v>Samarth</x:v>
      </x:c>
      <x:c r="O10" s="110" t="str">
        <x:v>Sprint 1</x:v>
      </x:c>
      <x:c r="P10" s="108" t="n">
        <x:v>5</x:v>
      </x:c>
      <x:c r="Q10" s="84" t="str">
        <x:v>Not Run</x:v>
      </x:c>
      <x:c r="R10" s="82" t="str">
        <x:v>STP adds/extends test coverage: TC-Pay-01, TC-Pay-04, TC-Ren-02</x:v>
      </x:c>
      <x:c r="S10" s="72"/>
      <x:c r="T10" s="109" t="str"/>
      <x:c r="U10" s="109" t="str"/>
    </x:row>
    <x:row r="11" ht="88" customHeight="1">
      <x:c r="A11" s="90" t="str">
        <x:v>INS-F-010</x:v>
      </x:c>
      <x:c r="B11" s="91" t="str">
        <x:v>Rule-based auto-underwriting</x:v>
      </x:c>
      <x:c r="C11" s="91" t="str">
        <x:v>Functional</x:v>
      </x:c>
      <x:c r="D11" s="91" t="str">
        <x:v>High</x:v>
      </x:c>
      <x:c r="E11" s="72" t="str">
        <x:v>The system shall evaluate each submitted application against the underwriting rules in section 4.4.1 and shall set the outcome to Auto-Approve, Refer or Reject before any payment is requested.</x:v>
      </x:c>
      <x:c r="F11" s="72" t="str">
        <x:v>AC-INS-F-010: Motor age 8 yrs gives Approve; age 17 yrs gives Refer; age 22 yrs gives Reject; health age 45 healthy gives Approve; age 62 gives Refer; age 72 gives Reject. Test: TC-UW-01, TC-UW-02, TC-UW-03</x:v>
      </x:c>
      <x:c r="G11" s="72" t="str">
        <x:v>Insurer Admin, Underwriter (UC-08)</x:v>
      </x:c>
      <x:c r="H11" s="72" t="str">
        <x:v>INS-F-007</x:v>
      </x:c>
      <x:c r="I11" s="72" t="str">
        <x:v>4.4 / DS-UW-01</x:v>
      </x:c>
      <x:c r="J11" s="72" t="str">
        <x:v>Underwriting Engine</x:v>
      </x:c>
      <x:c r="K11" s="72" t="str">
        <x:v>TC-UW-01, TC-UW-02, TC-UW-03</x:v>
      </x:c>
      <x:c r="L11" s="72" t="str">
        <x:v>TC-UW-01, TC-UW-02, TC-UW-03</x:v>
      </x:c>
      <x:c r="M11" s="78" t="str">
        <x:v>https://github.com/Thijil-Thejaswi-MN/Team-11/issues/6</x:v>
      </x:c>
      <x:c r="N11" s="72" t="str">
        <x:v>Thijil Thejaswi M.N.</x:v>
      </x:c>
      <x:c r="O11" s="110" t="str">
        <x:v>Sprint 1</x:v>
      </x:c>
      <x:c r="P11" s="108"/>
      <x:c r="Q11" s="84" t="str">
        <x:v>Not Run</x:v>
      </x:c>
      <x:c r="R11" s="72" t="str">
        <x:v>Mappings agree</x:v>
      </x:c>
      <x:c r="S11" s="72"/>
      <x:c r="T11" s="109" t="str"/>
      <x:c r="U11" s="109" t="str"/>
    </x:row>
    <x:row r="12" ht="74" customHeight="1">
      <x:c r="A12" s="90" t="str">
        <x:v>INS-F-011</x:v>
      </x:c>
      <x:c r="B12" s="91" t="str">
        <x:v>Manual review of referred cases</x:v>
      </x:c>
      <x:c r="C12" s="91" t="str">
        <x:v>Functional</x:v>
      </x:c>
      <x:c r="D12" s="91" t="str">
        <x:v>High</x:v>
      </x:c>
      <x:c r="E12" s="72" t="str">
        <x:v>The system shall place referred applications in an Underwriter's queue and shall allow the Underwriter to approve or reject each with a reason. The Customer shall be notified of the decision.</x:v>
      </x:c>
      <x:c r="F12" s="72" t="str">
        <x:v>AC-INS-F-011: A referred application appears only in the Underwriter queue; a decision changes its status and triggers a notification. Test: TC-UW-04</x:v>
      </x:c>
      <x:c r="G12" s="72" t="str">
        <x:v>Underwriter (UC-09)</x:v>
      </x:c>
      <x:c r="H12" s="72" t="str">
        <x:v>INS-F-010; INS-F-016</x:v>
      </x:c>
      <x:c r="I12" s="72" t="str">
        <x:v>4.4 / DS-UW-02</x:v>
      </x:c>
      <x:c r="J12" s="72" t="str">
        <x:v>Underwriting Engine / Quote &amp; Purchase</x:v>
      </x:c>
      <x:c r="K12" s="72" t="str">
        <x:v>TC-UW-04</x:v>
      </x:c>
      <x:c r="L12" s="72" t="str">
        <x:v>TC-UW-04</x:v>
      </x:c>
      <x:c r="M12" s="78" t="str">
        <x:v>https://github.com/Thijil-Thejaswi-MN/Team-11/issues/10</x:v>
      </x:c>
      <x:c r="N12" s="72" t="str">
        <x:v>Thijil Thejaswi M.N.</x:v>
      </x:c>
      <x:c r="O12" s="110" t="str">
        <x:v>Sprint 1 → Sprint 2 (carryover)</x:v>
      </x:c>
      <x:c r="P12" s="108"/>
      <x:c r="Q12" s="84" t="str">
        <x:v>Not Run</x:v>
      </x:c>
      <x:c r="R12" s="72" t="str">
        <x:v>Mappings agree</x:v>
      </x:c>
      <x:c r="S12" s="72"/>
      <x:c r="T12" s="109" t="str"/>
      <x:c r="U12" s="109" t="str"/>
    </x:row>
    <x:row r="13" ht="74" customHeight="1">
      <x:c r="A13" s="90" t="str">
        <x:v>INS-F-012</x:v>
      </x:c>
      <x:c r="B13" s="91" t="str">
        <x:v>File a claim</x:v>
      </x:c>
      <x:c r="C13" s="91" t="str">
        <x:v>Functional</x:v>
      </x:c>
      <x:c r="D13" s="91" t="str">
        <x:v>High</x:v>
      </x:c>
      <x:c r="E13" s="72" t="str">
        <x:v>The system shall let a Customer file a claim against an active policy with incident/hospitalisation details, claimed amount and supporting documents, within 30 days of the incident or discharge.</x:v>
      </x:c>
      <x:c r="F13" s="72" t="str">
        <x:v>AC-INS-F-012: A claim on an expired policy or after 30 days is rejected with a message. Test: TC-Clm-01</x:v>
      </x:c>
      <x:c r="G13" s="72" t="str">
        <x:v>Customer (UC-11, UC-26)</x:v>
      </x:c>
      <x:c r="H13" s="72" t="str">
        <x:v>INS-F-009</x:v>
      </x:c>
      <x:c r="I13" s="72" t="str">
        <x:v>4.7 / DS-Clm-01</x:v>
      </x:c>
      <x:c r="J13" s="72" t="str">
        <x:v>Claims Workflow Module</x:v>
      </x:c>
      <x:c r="K13" s="72" t="str">
        <x:v>TC-Clm-01</x:v>
      </x:c>
      <x:c r="L13" s="72" t="str">
        <x:v>TC-Clm-01</x:v>
      </x:c>
      <x:c r="M13" s="78" t="str">
        <x:v>https://github.com/Thijil-Thejaswi-MN/Team-11/issues/32</x:v>
      </x:c>
      <x:c r="N13" s="72" t="str">
        <x:v>Raghunandan-Kotary</x:v>
      </x:c>
      <x:c r="O13" s="110" t="str">
        <x:v>Sprint 1 → Sprint 2 (carryover)</x:v>
      </x:c>
      <x:c r="P13" s="108"/>
      <x:c r="Q13" s="84" t="str">
        <x:v>Not Run</x:v>
      </x:c>
      <x:c r="R13" s="72" t="str">
        <x:v>Mappings agree</x:v>
      </x:c>
      <x:c r="S13" s="72" t="str"/>
      <x:c r="T13" s="109" t="str"/>
      <x:c r="U13" s="109" t="str"/>
    </x:row>
    <x:row r="14" ht="72" customHeight="1">
      <x:c r="A14" s="90" t="str">
        <x:v>INS-F-013</x:v>
      </x:c>
      <x:c r="B14" s="91" t="str">
        <x:v>Claim workflow states</x:v>
      </x:c>
      <x:c r="C14" s="91" t="str">
        <x:v>Functional</x:v>
      </x:c>
      <x:c r="D14" s="91" t="str">
        <x:v>High</x:v>
      </x:c>
      <x:c r="E14" s="72" t="str">
        <x:v>The system shall move every claim through the states defined in section 4.7.1 and shall not allow a state to be skipped.</x:v>
      </x:c>
      <x:c r="F14" s="72" t="str">
        <x:v>AC-INS-F-013: Attempting to settle a claim that is still in 'Document Verification' is refused. Test: TC-Clm-02</x:v>
      </x:c>
      <x:c r="G14" s="72" t="str">
        <x:v>Claims Officer (UC-13, UC-14)</x:v>
      </x:c>
      <x:c r="H14" s="72" t="str">
        <x:v>INS-F-012</x:v>
      </x:c>
      <x:c r="I14" s="72" t="str">
        <x:v>4.7 / DS-Clm-02</x:v>
      </x:c>
      <x:c r="J14" s="72" t="str">
        <x:v>Claims Workflow Module</x:v>
      </x:c>
      <x:c r="K14" s="72" t="str">
        <x:v>TC-Clm-02</x:v>
      </x:c>
      <x:c r="L14" s="72" t="str">
        <x:v>TC-Clm-02</x:v>
      </x:c>
      <x:c r="M14" s="78" t="str">
        <x:v>https://github.com/Thijil-Thejaswi-MN/Team-11/issues/43</x:v>
      </x:c>
      <x:c r="N14" s="72" t="str">
        <x:v>Raghunandan-Kotary</x:v>
      </x:c>
      <x:c r="O14" s="110" t="str">
        <x:v>Sprint 1</x:v>
      </x:c>
      <x:c r="P14" s="108"/>
      <x:c r="Q14" s="84" t="str">
        <x:v>Not Run</x:v>
      </x:c>
      <x:c r="R14" s="72" t="str">
        <x:v>Mappings agree</x:v>
      </x:c>
      <x:c r="S14" s="72" t="str"/>
      <x:c r="T14" s="109" t="str"/>
      <x:c r="U14" s="109" t="str"/>
    </x:row>
    <x:row r="15" ht="88" customHeight="1">
      <x:c r="A15" s="90" t="str">
        <x:v>INS-F-014</x:v>
      </x:c>
      <x:c r="B15" s="91" t="str">
        <x:v>Verify, assess and decide claim</x:v>
      </x:c>
      <x:c r="C15" s="91" t="str">
        <x:v>Functional</x:v>
      </x:c>
      <x:c r="D15" s="91" t="str">
        <x:v>High</x:v>
      </x:c>
      <x:c r="E15" s="72" t="str">
        <x:v>The system shall let a Claims Officer verify documents (or request additional documents), assess the claim, and approve or reject it with a reason, and shall settle approved claims through the payment gateway.</x:v>
      </x:c>
      <x:c r="F15" s="72" t="str">
        <x:v>AC-INS-F-014: Approved claim goes to Payment Processing and then Settled; rejection requires a reason. Test: TC-Clm-03</x:v>
      </x:c>
      <x:c r="G15" s="72" t="str">
        <x:v>Claims Officer (UC-13, UC-14, UC-27)</x:v>
      </x:c>
      <x:c r="H15" s="72" t="str">
        <x:v>INS-F-013; INS-F-008</x:v>
      </x:c>
      <x:c r="I15" s="72" t="str">
        <x:v>4.7 / DS-Clm-03</x:v>
      </x:c>
      <x:c r="J15" s="72" t="str">
        <x:v>Claims Workflow Module</x:v>
      </x:c>
      <x:c r="K15" s="72" t="str">
        <x:v>TC-Clm-03</x:v>
      </x:c>
      <x:c r="L15" s="72" t="str">
        <x:v>TC-Clm-03, TC-Clm-06</x:v>
      </x:c>
      <x:c r="M15" s="78" t="str">
        <x:v>https://github.com/Thijil-Thejaswi-MN/Team-11/issues/11</x:v>
      </x:c>
      <x:c r="N15" s="72" t="str">
        <x:v>Thijil Thejaswi M.N.</x:v>
      </x:c>
      <x:c r="O15" s="110" t="str">
        <x:v>Sprint 2</x:v>
      </x:c>
      <x:c r="P15" s="108"/>
      <x:c r="Q15" s="84" t="str">
        <x:v>Not Run</x:v>
      </x:c>
      <x:c r="R15" s="82" t="str">
        <x:v>STP adds/extends test coverage: TC-Clm-06</x:v>
      </x:c>
      <x:c r="S15" s="72"/>
      <x:c r="T15" s="109" t="str"/>
      <x:c r="U15" s="109" t="str"/>
    </x:row>
    <x:row r="16" ht="72" customHeight="1">
      <x:c r="A16" s="90" t="str">
        <x:v>INS-F-015</x:v>
      </x:c>
      <x:c r="B16" s="91" t="str">
        <x:v>Track claim status</x:v>
      </x:c>
      <x:c r="C16" s="91" t="str">
        <x:v>Functional</x:v>
      </x:c>
      <x:c r="D16" s="91" t="str">
        <x:v>Medium</x:v>
      </x:c>
      <x:c r="E16" s="72" t="str">
        <x:v>The system shall let a Customer view the current status and status history of each of their claims.</x:v>
      </x:c>
      <x:c r="F16" s="72" t="str">
        <x:v>AC-INS-F-015: Timeline shows each state with date and time. Test: TC-Clm-04</x:v>
      </x:c>
      <x:c r="G16" s="72" t="str">
        <x:v>Customer (UC-12)</x:v>
      </x:c>
      <x:c r="H16" s="72" t="str">
        <x:v>INS-F-013</x:v>
      </x:c>
      <x:c r="I16" s="72" t="str">
        <x:v>4.7 / DS-Clm-04</x:v>
      </x:c>
      <x:c r="J16" s="72" t="str">
        <x:v>Claims Workflow Module</x:v>
      </x:c>
      <x:c r="K16" s="72" t="str">
        <x:v>TC-Clm-04</x:v>
      </x:c>
      <x:c r="L16" s="72" t="str">
        <x:v>TC-Clm-04</x:v>
      </x:c>
      <x:c r="M16" s="78" t="str">
        <x:v>https://github.com/Thijil-Thejaswi-MN/Team-11/issues/33</x:v>
      </x:c>
      <x:c r="N16" s="72" t="str">
        <x:v>Raghunandan-Kotary</x:v>
      </x:c>
      <x:c r="O16" s="110" t="str">
        <x:v>Sprint 1 → Sprint 2 (carryover)</x:v>
      </x:c>
      <x:c r="P16" s="108"/>
      <x:c r="Q16" s="84" t="str">
        <x:v>Not Run</x:v>
      </x:c>
      <x:c r="R16" s="72" t="str">
        <x:v>Mappings agree</x:v>
      </x:c>
      <x:c r="S16" s="72" t="str"/>
      <x:c r="T16" s="109" t="str"/>
      <x:c r="U16" s="109" t="str"/>
    </x:row>
    <x:row r="17" ht="72" customHeight="1">
      <x:c r="A17" s="90" t="str">
        <x:v>INS-F-016</x:v>
      </x:c>
      <x:c r="B17" s="91" t="str">
        <x:v>Status-change notifications</x:v>
      </x:c>
      <x:c r="C17" s="91" t="str">
        <x:v>Functional</x:v>
      </x:c>
      <x:c r="D17" s="91" t="str">
        <x:v>High</x:v>
      </x:c>
      <x:c r="E17" s="72" t="str">
        <x:v>The system shall send an email/SMS notification to the affected user on every status change of an application, policy, renewal, cancellation or claim.</x:v>
      </x:c>
      <x:c r="F17" s="72" t="str">
        <x:v>AC-INS-F-016: Each state change in the workflows creates one notification record and one outgoing message. Test: TC-Ntf-01</x:v>
      </x:c>
      <x:c r="G17" s="72" t="str">
        <x:v>All users (UC-15)</x:v>
      </x:c>
      <x:c r="H17" s="72" t="str">
        <x:v>Email/SMS is simulated (A-03)</x:v>
      </x:c>
      <x:c r="I17" s="72" t="str">
        <x:v>4.8 / DS-Ntf-01</x:v>
      </x:c>
      <x:c r="J17" s="72" t="str">
        <x:v>Notification Service</x:v>
      </x:c>
      <x:c r="K17" s="72" t="str">
        <x:v>TC-Ntf-01</x:v>
      </x:c>
      <x:c r="L17" s="72" t="str">
        <x:v>TC-UW-04, TC-Ren-01, TC-Clm-03, TC-Clm-06, TC-Ntf-01</x:v>
      </x:c>
      <x:c r="M17" s="78" t="str">
        <x:v>https://github.com/Thijil-Thejaswi-MN/Team-11/issues/34</x:v>
      </x:c>
      <x:c r="N17" s="72" t="str">
        <x:v>Raghunandan-Kotary</x:v>
      </x:c>
      <x:c r="O17" s="110" t="str">
        <x:v>Sprint 1 → Sprint 2 (carryover)</x:v>
      </x:c>
      <x:c r="P17" s="108"/>
      <x:c r="Q17" s="84" t="str">
        <x:v>Not Run</x:v>
      </x:c>
      <x:c r="R17" s="82" t="str">
        <x:v>STP adds/extends test coverage: TC-Clm-03, TC-Clm-06, TC-Ren-01, TC-UW-04</x:v>
      </x:c>
      <x:c r="S17" s="72" t="str"/>
      <x:c r="T17" s="109" t="str"/>
      <x:c r="U17" s="109" t="str"/>
    </x:row>
    <x:row r="18" ht="72" customHeight="1">
      <x:c r="A18" s="90" t="str">
        <x:v>INS-F-017</x:v>
      </x:c>
      <x:c r="B18" s="91" t="str">
        <x:v>Renewal reminders</x:v>
      </x:c>
      <x:c r="C18" s="91" t="str">
        <x:v>Functional</x:v>
      </x:c>
      <x:c r="D18" s="91" t="str">
        <x:v>Medium</x:v>
      </x:c>
      <x:c r="E18" s="72" t="str">
        <x:v>The system shall automatically send renewal reminders to the Customer 30, 15 and 1 day(s) before a policy expires.</x:v>
      </x:c>
      <x:c r="F18" s="72" t="str">
        <x:v>AC-INS-F-017: A policy expiring in 15 days triggers exactly one reminder that day. Test: TC-Ren-01</x:v>
      </x:c>
      <x:c r="G18" s="72" t="str">
        <x:v>Customer (UC-16)</x:v>
      </x:c>
      <x:c r="H18" s="72" t="str">
        <x:v>INS-F-016</x:v>
      </x:c>
      <x:c r="I18" s="72" t="str">
        <x:v>4.6 / DS-Ren-01</x:v>
      </x:c>
      <x:c r="J18" s="72" t="str">
        <x:v>Scheduler / Notification Service</x:v>
      </x:c>
      <x:c r="K18" s="72" t="str">
        <x:v>TC-Ren-01</x:v>
      </x:c>
      <x:c r="L18" s="72" t="str">
        <x:v>TC-Ren-01</x:v>
      </x:c>
      <x:c r="M18" s="78" t="str">
        <x:v>https://github.com/Thijil-Thejaswi-MN/Team-11/issues/35</x:v>
      </x:c>
      <x:c r="N18" s="72" t="str">
        <x:v>Raghunandan-Kotary</x:v>
      </x:c>
      <x:c r="O18" s="110" t="str">
        <x:v>Sprint 2 (Tier B / deferrable)</x:v>
      </x:c>
      <x:c r="P18" s="108"/>
      <x:c r="Q18" s="84" t="str">
        <x:v>Not Run</x:v>
      </x:c>
      <x:c r="R18" s="72" t="str">
        <x:v>Mappings agree</x:v>
      </x:c>
      <x:c r="S18" s="72" t="str"/>
      <x:c r="T18" s="109" t="str"/>
      <x:c r="U18" s="109" t="str"/>
    </x:row>
    <x:row r="19" ht="74" customHeight="1">
      <x:c r="A19" s="90" t="str">
        <x:v>INS-F-018</x:v>
      </x:c>
      <x:c r="B19" s="91" t="str">
        <x:v>Audit log</x:v>
      </x:c>
      <x:c r="C19" s="91" t="str">
        <x:v>Functional</x:v>
      </x:c>
      <x:c r="D19" s="91" t="str">
        <x:v>Medium</x:v>
      </x:c>
      <x:c r="E19" s="72" t="str">
        <x:v>The system shall record an audit log entry (user, action, time, record ID) for key actions: login, plan changes, underwriting decisions, payments, cancellations and claim decisions.</x:v>
      </x:c>
      <x:c r="F19" s="72" t="str">
        <x:v>AC-INS-F-018: A claim approval creates a log entry that cannot be edited or deleted by any role. Test: TC-Aud-01</x:v>
      </x:c>
      <x:c r="G19" s="72" t="str">
        <x:v>System Admin (UC-17)</x:v>
      </x:c>
      <x:c r="H19" s="72" t="str">
        <x:v>INS-SR-003</x:v>
      </x:c>
      <x:c r="I19" s="72" t="str">
        <x:v>4.8 / DS-Adm-01</x:v>
      </x:c>
      <x:c r="J19" s="72" t="str">
        <x:v>Admin &amp; Reporting Module</x:v>
      </x:c>
      <x:c r="K19" s="72" t="str">
        <x:v>TC-Aud-01</x:v>
      </x:c>
      <x:c r="L19" s="72" t="str">
        <x:v>TC-Aud-01</x:v>
      </x:c>
      <x:c r="M19" s="78" t="str">
        <x:v>https://github.com/Thijil-Thejaswi-MN/Team-11/issues/19</x:v>
      </x:c>
      <x:c r="N19" s="72" t="str">
        <x:v>Sharana</x:v>
      </x:c>
      <x:c r="O19" s="110" t="str">
        <x:v>Sprint 2</x:v>
      </x:c>
      <x:c r="P19" s="108"/>
      <x:c r="Q19" s="84" t="str">
        <x:v>Not Run</x:v>
      </x:c>
      <x:c r="R19" s="72" t="str">
        <x:v>Mappings agree</x:v>
      </x:c>
      <x:c r="S19" s="72"/>
      <x:c r="T19" s="109" t="str"/>
      <x:c r="U19" s="109" t="str"/>
    </x:row>
    <x:row r="20" ht="74" customHeight="1">
      <x:c r="A20" s="90" t="str">
        <x:v>INS-F-019</x:v>
      </x:c>
      <x:c r="B20" s="91" t="str">
        <x:v>Policy renewal processing</x:v>
      </x:c>
      <x:c r="C20" s="91" t="str">
        <x:v>Functional</x:v>
      </x:c>
      <x:c r="D20" s="91" t="str">
        <x:v>High</x:v>
      </x:c>
      <x:c r="E20" s="72" t="str">
        <x:v>The system shall let a Customer renew an existing policy, recalculate the premium using the renewal rules in section 4.6.1, collect payment, and generate the renewed policy document.</x:v>
      </x:c>
      <x:c r="F20" s="72" t="str">
        <x:v>AC-INS-F-019: Renewal creates a new term starting at expiry; premium reflects updated age and any no-claim discount. Test: TC-Ren-02, TC-Ren-03</x:v>
      </x:c>
      <x:c r="G20" s="72" t="str">
        <x:v>Customer (UC-18)</x:v>
      </x:c>
      <x:c r="H20" s="72" t="str">
        <x:v>INS-F-008; INS-F-009</x:v>
      </x:c>
      <x:c r="I20" s="72" t="str">
        <x:v>4.6 / DS-Ren-02</x:v>
      </x:c>
      <x:c r="J20" s="72" t="str">
        <x:v>Quote &amp; Purchase Module</x:v>
      </x:c>
      <x:c r="K20" s="72" t="str">
        <x:v>TC-Ren-02, TC-Ren-03</x:v>
      </x:c>
      <x:c r="L20" s="72" t="str">
        <x:v>TC-Ren-02, TC-Ren-03</x:v>
      </x:c>
      <x:c r="M20" s="78" t="str">
        <x:v>https://github.com/Thijil-Thejaswi-MN/Team-11/issues/4</x:v>
      </x:c>
      <x:c r="N20" s="72" t="str">
        <x:v>Samarth</x:v>
      </x:c>
      <x:c r="O20" s="110" t="str">
        <x:v>Sprint 1 → Sprint 2 (carryover)</x:v>
      </x:c>
      <x:c r="P20" s="108" t="n">
        <x:v>3</x:v>
      </x:c>
      <x:c r="Q20" s="84" t="str">
        <x:v>Not Run</x:v>
      </x:c>
      <x:c r="R20" s="72" t="str">
        <x:v>Mappings agree</x:v>
      </x:c>
      <x:c r="S20" s="72"/>
      <x:c r="T20" s="109" t="str"/>
      <x:c r="U20" s="109" t="str"/>
    </x:row>
    <x:row r="21" ht="74" customHeight="1">
      <x:c r="A21" s="90" t="str">
        <x:v>INS-F-020</x:v>
      </x:c>
      <x:c r="B21" s="91" t="str">
        <x:v>Policy cancellation and refund</x:v>
      </x:c>
      <x:c r="C21" s="91" t="str">
        <x:v>Functional</x:v>
      </x:c>
      <x:c r="D21" s="91" t="str">
        <x:v>High</x:v>
      </x:c>
      <x:c r="E21" s="72" t="str">
        <x:v>The system shall let a Customer request cancellation of an active policy, let the Insurer Admin approve or reject the request, and calculate the refund using the rules in section 4.6.2.</x:v>
      </x:c>
      <x:c r="F21" s="72" t="str">
        <x:v>AC-INS-F-020: Premium Rs 12,000, cancelled on day 10 with no claim, gives a refund of Rs 11,400 (premium minus 5% fee of Rs 600); a policy with a paid claim gives no refund. Test: TC-Can-01, TC-Can-02</x:v>
      </x:c>
      <x:c r="G21" s="72" t="str">
        <x:v>Customer, Insurer Admin (UC-19, UC-28)</x:v>
      </x:c>
      <x:c r="H21" s="72" t="str">
        <x:v>INS-F-016</x:v>
      </x:c>
      <x:c r="I21" s="72" t="str">
        <x:v>4.6 / DS-Can-01</x:v>
      </x:c>
      <x:c r="J21" s="72" t="str">
        <x:v>Quote &amp; Purchase Module</x:v>
      </x:c>
      <x:c r="K21" s="72" t="str">
        <x:v>TC-Can-01, TC-Can-02</x:v>
      </x:c>
      <x:c r="L21" s="72" t="str">
        <x:v>TC-Can-01, TC-Can-02</x:v>
      </x:c>
      <x:c r="M21" s="78" t="str">
        <x:v>https://github.com/Thijil-Thejaswi-MN/Team-11/issues/7</x:v>
      </x:c>
      <x:c r="N21" s="72" t="str">
        <x:v>Samarth</x:v>
      </x:c>
      <x:c r="O21" s="110" t="str">
        <x:v>Sprint 1 → Sprint 2 (carryover)</x:v>
      </x:c>
      <x:c r="P21" s="108" t="n">
        <x:v>3</x:v>
      </x:c>
      <x:c r="Q21" s="84" t="str">
        <x:v>Not Run</x:v>
      </x:c>
      <x:c r="R21" s="72" t="str">
        <x:v>Mappings agree</x:v>
      </x:c>
      <x:c r="S21" s="72"/>
      <x:c r="T21" s="109" t="str"/>
      <x:c r="U21" s="109" t="str"/>
    </x:row>
    <x:row r="22" ht="88" customHeight="1">
      <x:c r="A22" s="90" t="str">
        <x:v>INS-F-021</x:v>
      </x:c>
      <x:c r="B22" s="91" t="str">
        <x:v>Role-specific dashboards</x:v>
      </x:c>
      <x:c r="C22" s="91" t="str">
        <x:v>Functional</x:v>
      </x:c>
      <x:c r="D22" s="91" t="str">
        <x:v>Medium</x:v>
      </x:c>
      <x:c r="E22" s="72" t="str">
        <x:v>The system shall show a dashboard for each role: Customer (active policies, claims, renewal alerts); Insurer Admin (policies sold, claim statistics); Claims Officer (pending claims); Underwriter (pending applications).</x:v>
      </x:c>
      <x:c r="F22" s="72" t="str">
        <x:v>AC-INS-F-021: The Claims Officer dashboard lists only claims not yet Settled or Rejected. Test: TC-Dash-01</x:v>
      </x:c>
      <x:c r="G22" s="72" t="str">
        <x:v>All roles (UC-20)</x:v>
      </x:c>
      <x:c r="H22" s="72" t="str">
        <x:v>INS-F-001</x:v>
      </x:c>
      <x:c r="I22" s="72" t="str">
        <x:v>4.8 / DS-Adm-02</x:v>
      </x:c>
      <x:c r="J22" s="72" t="str">
        <x:v>Admin &amp; Reporting Module</x:v>
      </x:c>
      <x:c r="K22" s="72" t="str">
        <x:v>TC-Dash-01</x:v>
      </x:c>
      <x:c r="L22" s="72" t="str">
        <x:v>TC-Dash-01</x:v>
      </x:c>
      <x:c r="M22" s="78" t="str">
        <x:v>https://github.com/Thijil-Thejaswi-MN/Team-11/issues/20</x:v>
      </x:c>
      <x:c r="N22" s="72" t="str">
        <x:v>Sharana</x:v>
      </x:c>
      <x:c r="O22" s="110" t="str">
        <x:v>Sprint 2 (Tier B / deferrable)</x:v>
      </x:c>
      <x:c r="P22" s="108"/>
      <x:c r="Q22" s="84" t="str">
        <x:v>Not Run</x:v>
      </x:c>
      <x:c r="R22" s="72" t="str">
        <x:v>Mappings agree</x:v>
      </x:c>
      <x:c r="S22" s="72"/>
      <x:c r="T22" s="109" t="str"/>
      <x:c r="U22" s="109" t="str"/>
    </x:row>
    <x:row r="23" ht="72" customHeight="1">
      <x:c r="A23" s="90" t="str">
        <x:v>INS-F-022</x:v>
      </x:c>
      <x:c r="B23" s="91" t="str">
        <x:v>Search and filter plans</x:v>
      </x:c>
      <x:c r="C23" s="91" t="str">
        <x:v>Functional</x:v>
      </x:c>
      <x:c r="D23" s="91" t="str">
        <x:v>Medium</x:v>
      </x:c>
      <x:c r="E23" s="72" t="str">
        <x:v>The system shall let a Customer search and filter plans by insurer, premium range, policy type and coverage amount.</x:v>
      </x:c>
      <x:c r="F23" s="72" t="str">
        <x:v>AC-INS-F-022: Filter 'Health, premium up to Rs 10,000' returns only matching plans. Test: TC-Plan-03</x:v>
      </x:c>
      <x:c r="G23" s="72" t="str">
        <x:v>Customer (UC-23)</x:v>
      </x:c>
      <x:c r="H23" s="72" t="str">
        <x:v>INS-F-004</x:v>
      </x:c>
      <x:c r="I23" s="72" t="str">
        <x:v>4.2 / DS-Plan-03</x:v>
      </x:c>
      <x:c r="J23" s="72" t="str">
        <x:v>Plan Management Module</x:v>
      </x:c>
      <x:c r="K23" s="72" t="str">
        <x:v>TC-Plan-03</x:v>
      </x:c>
      <x:c r="L23" s="72" t="str">
        <x:v>TC-Plan-03</x:v>
      </x:c>
      <x:c r="M23" s="78" t="str">
        <x:v>https://github.com/Thijil-Thejaswi-MN/Team-11/issues/21</x:v>
      </x:c>
      <x:c r="N23" s="72" t="str">
        <x:v>Sharana</x:v>
      </x:c>
      <x:c r="O23" s="110" t="str">
        <x:v>Sprint 2 (Tier B / deferrable)</x:v>
      </x:c>
      <x:c r="P23" s="108"/>
      <x:c r="Q23" s="84" t="str">
        <x:v>Not Run</x:v>
      </x:c>
      <x:c r="R23" s="72" t="str">
        <x:v>Mappings agree</x:v>
      </x:c>
      <x:c r="S23" s="72"/>
      <x:c r="T23" s="109" t="str"/>
      <x:c r="U23" s="109" t="str"/>
    </x:row>
    <x:row r="24" ht="74" customHeight="1">
      <x:c r="A24" s="90" t="str">
        <x:v>INS-F-023</x:v>
      </x:c>
      <x:c r="B24" s="91" t="str">
        <x:v>Duplicate claim detection</x:v>
      </x:c>
      <x:c r="C24" s="91" t="str">
        <x:v>Functional</x:v>
      </x:c>
      <x:c r="D24" s="91" t="str">
        <x:v>Medium</x:v>
      </x:c>
      <x:c r="E24" s="72" t="str">
        <x:v>When a claim reaches Document Verification, the system shall flag it for manual review if another claim exists with the same policy, the same incident date and the same claimed amount.</x:v>
      </x:c>
      <x:c r="F24" s="72" t="str">
        <x:v>AC-INS-F-023: A second identical claim entering Document Verification gets a 'Possible duplicate' flag and is held there for manual review. Test: TC-Clm-05</x:v>
      </x:c>
      <x:c r="G24" s="72" t="str">
        <x:v>Claims Officer, Insurer (UC-24)</x:v>
      </x:c>
      <x:c r="H24" s="72" t="str">
        <x:v>INS-F-012</x:v>
      </x:c>
      <x:c r="I24" s="72" t="str">
        <x:v>4.7 / DS-Clm-05</x:v>
      </x:c>
      <x:c r="J24" s="72" t="str">
        <x:v>Claims Workflow Module</x:v>
      </x:c>
      <x:c r="K24" s="72" t="str">
        <x:v>TC-Clm-05</x:v>
      </x:c>
      <x:c r="L24" s="72" t="str">
        <x:v>TC-Clm-05</x:v>
      </x:c>
      <x:c r="M24" s="78" t="str">
        <x:v>https://github.com/Thijil-Thejaswi-MN/Team-11/issues/12</x:v>
      </x:c>
      <x:c r="N24" s="72" t="str">
        <x:v>Thijil Thejaswi M.N.</x:v>
      </x:c>
      <x:c r="O24" s="110" t="str">
        <x:v>Sprint 2 (Tier B / deferrable)</x:v>
      </x:c>
      <x:c r="P24" s="108"/>
      <x:c r="Q24" s="84" t="str">
        <x:v>Not Run</x:v>
      </x:c>
      <x:c r="R24" s="72" t="str">
        <x:v>Mappings agree</x:v>
      </x:c>
      <x:c r="S24" s="72"/>
      <x:c r="T24" s="109" t="str"/>
      <x:c r="U24" s="109" t="str"/>
    </x:row>
    <x:row r="25" ht="72" customHeight="1">
      <x:c r="A25" s="90" t="str">
        <x:v>INS-F-024</x:v>
      </x:c>
      <x:c r="B25" s="91" t="str">
        <x:v>Download policy documents</x:v>
      </x:c>
      <x:c r="C25" s="91" t="str">
        <x:v>Functional</x:v>
      </x:c>
      <x:c r="D25" s="91" t="str">
        <x:v>Medium</x:v>
      </x:c>
      <x:c r="E25" s="72" t="str">
        <x:v>The system shall let a Customer view a policy and download the policy PDF and the renewal certificate.</x:v>
      </x:c>
      <x:c r="F25" s="72" t="str">
        <x:v>AC-INS-F-024: Download returns a PDF for the customer's own policy only. Test: TC-Pol-02</x:v>
      </x:c>
      <x:c r="G25" s="72" t="str">
        <x:v>Customer (UC-21)</x:v>
      </x:c>
      <x:c r="H25" s="72" t="str">
        <x:v>INS-F-009; INS-F-019</x:v>
      </x:c>
      <x:c r="I25" s="72" t="str">
        <x:v>4.5 / DS-Policy-02</x:v>
      </x:c>
      <x:c r="J25" s="72" t="str">
        <x:v>Quote &amp; Purchase Module</x:v>
      </x:c>
      <x:c r="K25" s="72" t="str">
        <x:v>TC-Pol-02</x:v>
      </x:c>
      <x:c r="L25" s="72" t="str">
        <x:v>TC-Pol-02</x:v>
      </x:c>
      <x:c r="M25" s="78" t="str">
        <x:v>https://github.com/Thijil-Thejaswi-MN/Team-11/issues/8</x:v>
      </x:c>
      <x:c r="N25" s="72" t="str">
        <x:v>Samarth</x:v>
      </x:c>
      <x:c r="O25" s="110" t="str">
        <x:v>Sprint 2 (Tier B / deferrable)</x:v>
      </x:c>
      <x:c r="P25" s="108" t="n">
        <x:v>2</x:v>
      </x:c>
      <x:c r="Q25" s="84" t="str">
        <x:v>Not Run</x:v>
      </x:c>
      <x:c r="R25" s="72" t="str">
        <x:v>Mappings agree</x:v>
      </x:c>
      <x:c r="S25" s="72"/>
      <x:c r="T25" s="109" t="str"/>
      <x:c r="U25" s="109" t="str"/>
    </x:row>
    <x:row r="26" ht="74" customHeight="1">
      <x:c r="A26" s="90" t="str">
        <x:v>INS-F-025</x:v>
      </x:c>
      <x:c r="B26" s="91" t="str">
        <x:v>Admin reports</x:v>
      </x:c>
      <x:c r="C26" s="91" t="str">
        <x:v>Functional</x:v>
      </x:c>
      <x:c r="D26" s="91" t="str">
        <x:v>Medium</x:v>
      </x:c>
      <x:c r="E26" s="72" t="str">
        <x:v>The system shall let a System Admin generate reports for a chosen period: policies sold, claims settled, premium collected, renewal statistics, and claims approval/rejection statistics.</x:v>
      </x:c>
      <x:c r="F26" s="72" t="str">
        <x:v>AC-INS-F-025: Totals in the report equal the totals from the underlying records for the period. Test: TC-Rpt-01</x:v>
      </x:c>
      <x:c r="G26" s="72" t="str">
        <x:v>System Admin (UC-22)</x:v>
      </x:c>
      <x:c r="H26" s="72" t="str">
        <x:v>INS-F-009; INS-F-014</x:v>
      </x:c>
      <x:c r="I26" s="72" t="str">
        <x:v>4.8 / DS-Adm-03</x:v>
      </x:c>
      <x:c r="J26" s="72" t="str">
        <x:v>Admin &amp; Reporting Module</x:v>
      </x:c>
      <x:c r="K26" s="72" t="str">
        <x:v>TC-Rpt-01</x:v>
      </x:c>
      <x:c r="L26" s="72" t="str">
        <x:v>TC-Rpt-01</x:v>
      </x:c>
      <x:c r="M26" s="78" t="str">
        <x:v>https://github.com/Thijil-Thejaswi-MN/Team-11/issues/9</x:v>
      </x:c>
      <x:c r="N26" s="72" t="str">
        <x:v>Samarth</x:v>
      </x:c>
      <x:c r="O26" s="110" t="str">
        <x:v>Sprint 2 (Tier B / deferrable)</x:v>
      </x:c>
      <x:c r="P26" s="108" t="n">
        <x:v>3</x:v>
      </x:c>
      <x:c r="Q26" s="84" t="str">
        <x:v>Not Run</x:v>
      </x:c>
      <x:c r="R26" s="72" t="str">
        <x:v>Mappings agree</x:v>
      </x:c>
      <x:c r="S26" s="72"/>
      <x:c r="T26" s="109" t="str"/>
      <x:c r="U26" s="109" t="str"/>
    </x:row>
    <x:row r="27" ht="72" customHeight="1">
      <x:c r="A27" s="94" t="str">
        <x:v>INS-NF-001</x:v>
      </x:c>
      <x:c r="B27" s="95" t="str">
        <x:v>Quote response time</x:v>
      </x:c>
      <x:c r="C27" s="95" t="str">
        <x:v>Non-functional</x:v>
      </x:c>
      <x:c r="D27" s="95" t="str">
        <x:v>High</x:v>
      </x:c>
      <x:c r="E27" s="72" t="str">
        <x:v>A premium quote shall be displayed within 5 seconds for 95% of requests under normal load.</x:v>
      </x:c>
      <x:c r="F27" s="72" t="str">
        <x:v>95th percentile of quote response time &lt;= 5 s in a load test. Test: TC-Perf-01</x:v>
      </x:c>
      <x:c r="G27" s="72"/>
      <x:c r="H27" s="72"/>
      <x:c r="I27" s="72" t="str">
        <x:v>5 / DS-Perf-01</x:v>
      </x:c>
      <x:c r="J27" s="72" t="str">
        <x:v>Quote &amp; Purchase / DB</x:v>
      </x:c>
      <x:c r="K27" s="72" t="str">
        <x:v>TC-Perf-01</x:v>
      </x:c>
      <x:c r="L27" s="72" t="str">
        <x:v>TC-Quote-01, TC-Quote-02, TC-Perf-01, TC-Load-01</x:v>
      </x:c>
      <x:c r="M27" s="78" t="str">
        <x:v>https://github.com/Thijil-Thejaswi-MN/Team-11/issues/13</x:v>
      </x:c>
      <x:c r="N27" s="72" t="str">
        <x:v>Thijil Thejaswi M.N.</x:v>
      </x:c>
      <x:c r="O27" s="110" t="str">
        <x:v>Sprint 2</x:v>
      </x:c>
      <x:c r="P27" s="108"/>
      <x:c r="Q27" s="84" t="str">
        <x:v>Not Run</x:v>
      </x:c>
      <x:c r="R27" s="82" t="str">
        <x:v>STP adds/extends test coverage: TC-Load-01, TC-Quote-01, TC-Quote-02</x:v>
      </x:c>
      <x:c r="S27" s="72"/>
      <x:c r="T27" s="109" t="str"/>
      <x:c r="U27" s="109" t="str"/>
    </x:row>
    <x:row r="28" ht="72" customHeight="1">
      <x:c r="A28" s="94" t="str">
        <x:v>INS-NF-002</x:v>
      </x:c>
      <x:c r="B28" s="95" t="str">
        <x:v>Concurrent users</x:v>
      </x:c>
      <x:c r="C28" s="95" t="str">
        <x:v>Non-functional</x:v>
      </x:c>
      <x:c r="D28" s="95" t="str">
        <x:v>High</x:v>
      </x:c>
      <x:c r="E28" s="72" t="str">
        <x:v>The system shall support 500 concurrent users without errors and without exceeding the response time in INS-NF-001.</x:v>
      </x:c>
      <x:c r="F28" s="72" t="str">
        <x:v>500 virtual users run mixed browse/quote/claim scenarios with error rate &lt; 1%. Test: TC-Load-01</x:v>
      </x:c>
      <x:c r="G28" s="72"/>
      <x:c r="H28" s="72"/>
      <x:c r="I28" s="72" t="str">
        <x:v>5 / DS-Perf-02</x:v>
      </x:c>
      <x:c r="J28" s="72" t="str">
        <x:v>All modules</x:v>
      </x:c>
      <x:c r="K28" s="72" t="str">
        <x:v>TC-Load-01</x:v>
      </x:c>
      <x:c r="L28" s="72" t="str">
        <x:v>TC-Load-01</x:v>
      </x:c>
      <x:c r="M28" s="78" t="str">
        <x:v>https://github.com/Thijil-Thejaswi-MN/Team-11/issues/38</x:v>
      </x:c>
      <x:c r="N28" s="72" t="str">
        <x:v>Raghunandan-Kotary</x:v>
      </x:c>
      <x:c r="O28" s="110" t="str">
        <x:v>Sprint 2</x:v>
      </x:c>
      <x:c r="P28" s="108"/>
      <x:c r="Q28" s="84" t="str">
        <x:v>Not Run</x:v>
      </x:c>
      <x:c r="R28" s="72" t="str">
        <x:v>Mappings agree</x:v>
      </x:c>
      <x:c r="S28" s="72" t="str"/>
      <x:c r="T28" s="109" t="str"/>
      <x:c r="U28" s="109" t="str"/>
    </x:row>
    <x:row r="29" ht="72" customHeight="1">
      <x:c r="A29" s="94" t="str">
        <x:v>INS-NF-003</x:v>
      </x:c>
      <x:c r="B29" s="95" t="str">
        <x:v>Availability</x:v>
      </x:c>
      <x:c r="C29" s="95" t="str">
        <x:v>Non-functional</x:v>
      </x:c>
      <x:c r="D29" s="95" t="str">
        <x:v>High</x:v>
      </x:c>
      <x:c r="E29" s="72" t="str">
        <x:v>The system shall be available 99% of each month, excluding scheduled maintenance.</x:v>
      </x:c>
      <x:c r="F29" s="72" t="str">
        <x:v>Monthly uptime report &gt;= 99% (at most about 7.2 hours downtime). Test: TC-Avail-01</x:v>
      </x:c>
      <x:c r="G29" s="72"/>
      <x:c r="H29" s="72"/>
      <x:c r="I29" s="72" t="str">
        <x:v>5 / DS-Ops-01</x:v>
      </x:c>
      <x:c r="J29" s="72" t="str">
        <x:v>Deployment</x:v>
      </x:c>
      <x:c r="K29" s="72" t="str">
        <x:v>TC-Avail-01</x:v>
      </x:c>
      <x:c r="L29" s="72" t="str">
        <x:v>TC-Avail-01</x:v>
      </x:c>
      <x:c r="M29" s="78" t="str">
        <x:v>https://github.com/Thijil-Thejaswi-MN/Team-11/issues/39</x:v>
      </x:c>
      <x:c r="N29" s="72" t="str">
        <x:v>Raghunandan-Kotary</x:v>
      </x:c>
      <x:c r="O29" s="110" t="str">
        <x:v>Sprint 2</x:v>
      </x:c>
      <x:c r="P29" s="108"/>
      <x:c r="Q29" s="84" t="str">
        <x:v>Not Run</x:v>
      </x:c>
      <x:c r="R29" s="72" t="str">
        <x:v>Mappings agree</x:v>
      </x:c>
      <x:c r="S29" s="72" t="str"/>
      <x:c r="T29" s="109" t="str"/>
      <x:c r="U29" s="109" t="str"/>
    </x:row>
    <x:row r="30" ht="72" customHeight="1">
      <x:c r="A30" s="94" t="str">
        <x:v>INS-NF-004</x:v>
      </x:c>
      <x:c r="B30" s="95" t="str">
        <x:v>Backup and recovery</x:v>
      </x:c>
      <x:c r="C30" s="95" t="str">
        <x:v>Non-functional</x:v>
      </x:c>
      <x:c r="D30" s="95" t="str">
        <x:v>High</x:v>
      </x:c>
      <x:c r="E30" s="72" t="str">
        <x:v>The system shall take a full database backup every day and shall be restorable from the latest backup within 4 hours.</x:v>
      </x:c>
      <x:c r="F30" s="72" t="str">
        <x:v>Restore drill succeeds and data loss is at most 24 hours. Test: TC-Rel-01</x:v>
      </x:c>
      <x:c r="G30" s="72"/>
      <x:c r="H30" s="72"/>
      <x:c r="I30" s="72" t="str">
        <x:v>5 / DS-Ops-02</x:v>
      </x:c>
      <x:c r="J30" s="72" t="str">
        <x:v>Database</x:v>
      </x:c>
      <x:c r="K30" s="72" t="str">
        <x:v>TC-Rel-01</x:v>
      </x:c>
      <x:c r="L30" s="72" t="str">
        <x:v>TC-Rel-01</x:v>
      </x:c>
      <x:c r="M30" s="78" t="str">
        <x:v>https://github.com/Thijil-Thejaswi-MN/Team-11/issues/40</x:v>
      </x:c>
      <x:c r="N30" s="72" t="str">
        <x:v>Raghunandan-Kotary</x:v>
      </x:c>
      <x:c r="O30" s="110" t="str">
        <x:v>Sprint 2</x:v>
      </x:c>
      <x:c r="P30" s="108"/>
      <x:c r="Q30" s="84" t="str">
        <x:v>Not Run</x:v>
      </x:c>
      <x:c r="R30" s="72" t="str">
        <x:v>Mappings agree</x:v>
      </x:c>
      <x:c r="S30" s="72" t="str"/>
      <x:c r="T30" s="109" t="str"/>
      <x:c r="U30" s="109" t="str"/>
    </x:row>
    <x:row r="31" ht="72" customHeight="1">
      <x:c r="A31" s="94" t="str">
        <x:v>INS-NF-005</x:v>
      </x:c>
      <x:c r="B31" s="95" t="str">
        <x:v>Responsive UI</x:v>
      </x:c>
      <x:c r="C31" s="95" t="str">
        <x:v>Non-functional</x:v>
      </x:c>
      <x:c r="D31" s="95" t="str">
        <x:v>Medium</x:v>
      </x:c>
      <x:c r="E31" s="72" t="str">
        <x:v>The web interface shall be responsive and usable on desktop, tablet and mobile screens (width 360 px and above), with clear labels and error messages.</x:v>
      </x:c>
      <x:c r="F31" s="72" t="str">
        <x:v>All main screens render without horizontal scrolling at 360 px width. Test: TC-UX-01</x:v>
      </x:c>
      <x:c r="G31" s="72"/>
      <x:c r="H31" s="72"/>
      <x:c r="I31" s="72" t="str">
        <x:v>5 / DS-UX-01</x:v>
      </x:c>
      <x:c r="J31" s="72" t="str">
        <x:v>Web UI</x:v>
      </x:c>
      <x:c r="K31" s="72" t="str">
        <x:v>TC-UX-01</x:v>
      </x:c>
      <x:c r="L31" s="72" t="str">
        <x:v>TC-UX-01</x:v>
      </x:c>
      <x:c r="M31" s="78" t="str">
        <x:v>https://github.com/Thijil-Thejaswi-MN/Team-11/issues/29</x:v>
      </x:c>
      <x:c r="N31" s="72" t="str">
        <x:v>Sharana</x:v>
      </x:c>
      <x:c r="O31" s="110" t="str">
        <x:v>Sprint 2</x:v>
      </x:c>
      <x:c r="P31" s="108"/>
      <x:c r="Q31" s="84" t="str">
        <x:v>Not Run</x:v>
      </x:c>
      <x:c r="R31" s="72" t="str">
        <x:v>Mappings agree</x:v>
      </x:c>
      <x:c r="S31" s="72"/>
      <x:c r="T31" s="109" t="str"/>
      <x:c r="U31" s="109" t="str"/>
    </x:row>
    <x:row r="32" ht="72" customHeight="1">
      <x:c r="A32" s="94" t="str">
        <x:v>INS-NF-006</x:v>
      </x:c>
      <x:c r="B32" s="95" t="str">
        <x:v>Browser compatibility</x:v>
      </x:c>
      <x:c r="C32" s="95" t="str">
        <x:v>Non-functional</x:v>
      </x:c>
      <x:c r="D32" s="95" t="str">
        <x:v>Medium</x:v>
      </x:c>
      <x:c r="E32" s="72" t="str">
        <x:v>The system shall work on the latest two versions of Chrome, Firefox, Edge and Safari.</x:v>
      </x:c>
      <x:c r="F32" s="72" t="str">
        <x:v>Smoke test of core flows passes on all four browsers. Test: TC-Compat-01</x:v>
      </x:c>
      <x:c r="G32" s="72"/>
      <x:c r="H32" s="72"/>
      <x:c r="I32" s="72" t="str">
        <x:v>5 / DS-UX-02</x:v>
      </x:c>
      <x:c r="J32" s="72" t="str">
        <x:v>Web UI</x:v>
      </x:c>
      <x:c r="K32" s="72" t="str">
        <x:v>TC-Compat-01</x:v>
      </x:c>
      <x:c r="L32" s="72" t="str">
        <x:v>TC-Compat-01</x:v>
      </x:c>
      <x:c r="M32" s="78" t="str">
        <x:v>https://github.com/Thijil-Thejaswi-MN/Team-11/issues/30</x:v>
      </x:c>
      <x:c r="N32" s="72" t="str">
        <x:v>Sharana</x:v>
      </x:c>
      <x:c r="O32" s="110" t="str">
        <x:v>Sprint 2</x:v>
      </x:c>
      <x:c r="P32" s="108"/>
      <x:c r="Q32" s="84" t="str">
        <x:v>Not Run</x:v>
      </x:c>
      <x:c r="R32" s="72" t="str">
        <x:v>Mappings agree</x:v>
      </x:c>
      <x:c r="S32" s="72"/>
      <x:c r="T32" s="109" t="str"/>
      <x:c r="U32" s="109" t="str"/>
    </x:row>
    <x:row r="33" ht="72" customHeight="1">
      <x:c r="A33" s="94" t="str">
        <x:v>INS-NF-007</x:v>
      </x:c>
      <x:c r="B33" s="95" t="str">
        <x:v>Audit retention</x:v>
      </x:c>
      <x:c r="C33" s="95" t="str">
        <x:v>Non-functional</x:v>
      </x:c>
      <x:c r="D33" s="95" t="str">
        <x:v>Medium</x:v>
      </x:c>
      <x:c r="E33" s="72" t="str">
        <x:v>Audit logs and policy and claim records shall be retained for at least 5 years.</x:v>
      </x:c>
      <x:c r="F33" s="72" t="str">
        <x:v>Test data back-dated by 5 years remains retrievable, and the retention job deletes no record younger than 5 years. Test: TC-Aud-02</x:v>
      </x:c>
      <x:c r="G33" s="72"/>
      <x:c r="H33" s="72"/>
      <x:c r="I33" s="72" t="str">
        <x:v>5 / DS-Adm-01</x:v>
      </x:c>
      <x:c r="J33" s="72" t="str">
        <x:v>Admin &amp; Reporting</x:v>
      </x:c>
      <x:c r="K33" s="72" t="str">
        <x:v>TC-Aud-02</x:v>
      </x:c>
      <x:c r="L33" s="72" t="str">
        <x:v>TC-Aud-02</x:v>
      </x:c>
      <x:c r="M33" s="78" t="str">
        <x:v>https://github.com/Thijil-Thejaswi-MN/Team-11/issues/14</x:v>
      </x:c>
      <x:c r="N33" s="72" t="str">
        <x:v>Thijil Thejaswi M.N.</x:v>
      </x:c>
      <x:c r="O33" s="110" t="str">
        <x:v>Sprint 2 (Tier B / deferrable)</x:v>
      </x:c>
      <x:c r="P33" s="108"/>
      <x:c r="Q33" s="84" t="str">
        <x:v>Not Run</x:v>
      </x:c>
      <x:c r="R33" s="72" t="str">
        <x:v>Mappings agree</x:v>
      </x:c>
      <x:c r="S33" s="72"/>
      <x:c r="T33" s="109" t="str"/>
      <x:c r="U33" s="109" t="str"/>
    </x:row>
    <x:row r="34" ht="72" customHeight="1">
      <x:c r="A34" s="98" t="str">
        <x:v>INS-SR-001</x:v>
      </x:c>
      <x:c r="B34" s="99" t="str">
        <x:v>HTTPS / TLS 1.2+ for all traffic</x:v>
      </x:c>
      <x:c r="C34" s="99" t="str">
        <x:v>Security</x:v>
      </x:c>
      <x:c r="D34" s="99" t="str">
        <x:v>High</x:v>
      </x:c>
      <x:c r="E34" s="72" t="str">
        <x:v>All communication between browser and server, and between server and external services, shall use HTTPS (TLS 1.2 or higher). (Objective SO-1)</x:v>
      </x:c>
      <x:c r="F34" s="72" t="str">
        <x:v>No HTTP endpoint is reachable; TLS scan shows &gt;= 1.2. Test: TC-Sec-01</x:v>
      </x:c>
      <x:c r="G34" s="72"/>
      <x:c r="H34" s="72"/>
      <x:c r="I34" s="72" t="str">
        <x:v>5.1.2 / DS-Sec-01</x:v>
      </x:c>
      <x:c r="J34" s="72" t="str">
        <x:v>Deployment</x:v>
      </x:c>
      <x:c r="K34" s="72" t="str">
        <x:v>TC-Sec-01</x:v>
      </x:c>
      <x:c r="L34" s="72" t="str">
        <x:v>TC-Pay-03, TC-Sec-01</x:v>
      </x:c>
      <x:c r="M34" s="78" t="str">
        <x:v>https://github.com/Thijil-Thejaswi-MN/Team-11/issues/36</x:v>
      </x:c>
      <x:c r="N34" s="72" t="str">
        <x:v>Raghunandan-Kotary</x:v>
      </x:c>
      <x:c r="O34" s="110" t="str">
        <x:v>Sprint 2</x:v>
      </x:c>
      <x:c r="P34" s="108"/>
      <x:c r="Q34" s="84" t="str">
        <x:v>Not Run</x:v>
      </x:c>
      <x:c r="R34" s="82" t="str">
        <x:v>STP adds/extends test coverage: TC-Pay-03</x:v>
      </x:c>
      <x:c r="S34" s="72" t="str"/>
      <x:c r="T34" s="109" t="str"/>
      <x:c r="U34" s="109" t="str"/>
    </x:row>
    <x:row r="35" ht="72" customHeight="1">
      <x:c r="A35" s="98" t="str">
        <x:v>INS-SR-002</x:v>
      </x:c>
      <x:c r="B35" s="99" t="str">
        <x:v>Salted password hashing</x:v>
      </x:c>
      <x:c r="C35" s="99" t="str">
        <x:v>Security</x:v>
      </x:c>
      <x:c r="D35" s="99" t="str">
        <x:v>High</x:v>
      </x:c>
      <x:c r="E35" s="72" t="str">
        <x:v>Passwords shall be stored only as salted hashes (bcrypt or Argon2) and shall never be logged or emailed. (Objective SO-1)</x:v>
      </x:c>
      <x:c r="F35" s="72" t="str">
        <x:v>Database inspection shows no plain-text password. Test: TC-Sec-02</x:v>
      </x:c>
      <x:c r="G35" s="72"/>
      <x:c r="H35" s="72"/>
      <x:c r="I35" s="72" t="str">
        <x:v>5.1.2 / DS-Sec-02</x:v>
      </x:c>
      <x:c r="J35" s="72" t="str">
        <x:v>User &amp; KYC Module</x:v>
      </x:c>
      <x:c r="K35" s="72" t="str">
        <x:v>TC-Sec-02</x:v>
      </x:c>
      <x:c r="L35" s="72" t="str">
        <x:v>TC-Sec-02, TC-Sec-11</x:v>
      </x:c>
      <x:c r="M35" s="78" t="str">
        <x:v>https://github.com/Thijil-Thejaswi-MN/Team-11/issues/22</x:v>
      </x:c>
      <x:c r="N35" s="72" t="str">
        <x:v>Sharana</x:v>
      </x:c>
      <x:c r="O35" s="110" t="str">
        <x:v>Sprint 1</x:v>
      </x:c>
      <x:c r="P35" s="108"/>
      <x:c r="Q35" s="84" t="str">
        <x:v>Not Run</x:v>
      </x:c>
      <x:c r="R35" s="82" t="str">
        <x:v>STP adds/extends test coverage: TC-Sec-11</x:v>
      </x:c>
      <x:c r="S35" s="72"/>
      <x:c r="T35" s="109" t="str"/>
      <x:c r="U35" s="109" t="str"/>
    </x:row>
    <x:row r="36" ht="116" customHeight="1">
      <x:c r="A36" s="98" t="str">
        <x:v>INS-SR-003</x:v>
      </x:c>
      <x:c r="B36" s="99" t="str">
        <x:v>Role-based access control</x:v>
      </x:c>
      <x:c r="C36" s="99" t="str">
        <x:v>Security</x:v>
      </x:c>
      <x:c r="D36" s="99" t="str">
        <x:v>High</x:v>
      </x:c>
      <x:c r="E36" s="72" t="str">
        <x:v>The system shall enforce role-based access control (RBAC) on every page and API, denying by default. Insurer staff (Insurer Admin, Underwriter, Claims Officer) belong to exactly one insurer and shall be able to see and change only the records of that insurer; a Customer shall see only their own records. (Objective SO-2)</x:v>
      </x:c>
      <x:c r="F36" s="72" t="str">
        <x:v>A Customer calling an Insurer Admin API gets 403. Staff of insurer A cannot view or change applications, claims or cancellation requests of insurer B. Test: TC-Sec-03</x:v>
      </x:c>
      <x:c r="G36" s="72"/>
      <x:c r="H36" s="72"/>
      <x:c r="I36" s="72" t="str">
        <x:v>5.1.2 / DS-Sec-03</x:v>
      </x:c>
      <x:c r="J36" s="72" t="str">
        <x:v>All modules</x:v>
      </x:c>
      <x:c r="K36" s="72" t="str">
        <x:v>TC-Sec-03</x:v>
      </x:c>
      <x:c r="L36" s="72" t="str">
        <x:v>TC-Acc-02, TC-Plan-01, TC-UW-04, TC-Pol-02, TC-Can-02, TC-Clm-04, TC-Dash-01, TC-Sec-03, TC-Sec-09</x:v>
      </x:c>
      <x:c r="M36" s="78" t="str">
        <x:v>https://github.com/Thijil-Thejaswi-MN/Team-11/issues/23</x:v>
      </x:c>
      <x:c r="N36" s="72" t="str">
        <x:v>Sharana</x:v>
      </x:c>
      <x:c r="O36" s="110" t="str">
        <x:v>Sprint 1 → Sprint 2 (carryover)</x:v>
      </x:c>
      <x:c r="P36" s="108"/>
      <x:c r="Q36" s="84" t="str">
        <x:v>Not Run</x:v>
      </x:c>
      <x:c r="R36" s="82" t="str">
        <x:v>STP adds/extends test coverage: TC-Acc-02, TC-Can-02, TC-Clm-04, TC-Dash-01, TC-Plan-01, TC-Pol-02, TC-Sec-09, TC-UW-04</x:v>
      </x:c>
      <x:c r="S36" s="72"/>
      <x:c r="T36" s="109" t="str"/>
      <x:c r="U36" s="109" t="str"/>
    </x:row>
    <x:row r="37" ht="72" customHeight="1">
      <x:c r="A37" s="98" t="str">
        <x:v>INS-SR-004</x:v>
      </x:c>
      <x:c r="B37" s="99" t="str">
        <x:v>Encryption of documents at rest</x:v>
      </x:c>
      <x:c r="C37" s="99" t="str">
        <x:v>Security</x:v>
      </x:c>
      <x:c r="D37" s="99" t="str">
        <x:v>High</x:v>
      </x:c>
      <x:c r="E37" s="72" t="str">
        <x:v>KYC documents, medical declarations and claim documents shall be encrypted at rest (AES-256). (Objective SO-1)</x:v>
      </x:c>
      <x:c r="F37" s="72" t="str">
        <x:v>Stored files are unreadable without the key. Test: TC-Sec-04</x:v>
      </x:c>
      <x:c r="G37" s="72"/>
      <x:c r="H37" s="72"/>
      <x:c r="I37" s="72" t="str">
        <x:v>5.1.2 / DS-Sec-04</x:v>
      </x:c>
      <x:c r="J37" s="72" t="str">
        <x:v>Database / storage</x:v>
      </x:c>
      <x:c r="K37" s="72" t="str">
        <x:v>TC-Sec-04</x:v>
      </x:c>
      <x:c r="L37" s="72" t="str">
        <x:v>TC-Sec-04, TC-Sec-11</x:v>
      </x:c>
      <x:c r="M37" s="78" t="str">
        <x:v>https://github.com/Thijil-Thejaswi-MN/Team-11/issues/37</x:v>
      </x:c>
      <x:c r="N37" s="72" t="str">
        <x:v>Raghunandan-Kotary</x:v>
      </x:c>
      <x:c r="O37" s="110" t="str">
        <x:v>Sprint 2</x:v>
      </x:c>
      <x:c r="P37" s="108"/>
      <x:c r="Q37" s="84" t="str">
        <x:v>Not Run</x:v>
      </x:c>
      <x:c r="R37" s="82" t="str">
        <x:v>STP adds/extends test coverage: TC-Sec-11</x:v>
      </x:c>
      <x:c r="S37" s="72" t="str"/>
      <x:c r="T37" s="109" t="str"/>
      <x:c r="U37" s="109" t="str"/>
    </x:row>
    <x:row r="38" ht="74" customHeight="1">
      <x:c r="A38" s="98" t="str">
        <x:v>INS-SR-005</x:v>
      </x:c>
      <x:c r="B38" s="99" t="str">
        <x:v>Account lockout and session timeout</x:v>
      </x:c>
      <x:c r="C38" s="99" t="str">
        <x:v>Security</x:v>
      </x:c>
      <x:c r="D38" s="99" t="str">
        <x:v>High</x:v>
      </x:c>
      <x:c r="E38" s="72" t="str">
        <x:v>An account shall be locked for 15 minutes after 5 consecutive failed logins, and sessions shall expire after 15 minutes of inactivity. (Objective SO-2)</x:v>
      </x:c>
      <x:c r="F38" s="72" t="str">
        <x:v>6th wrong password is refused even if correct; idle session redirects to login. Test: TC-Sec-05</x:v>
      </x:c>
      <x:c r="G38" s="72"/>
      <x:c r="H38" s="72"/>
      <x:c r="I38" s="72" t="str">
        <x:v>5.1.2 / DS-Sec-05</x:v>
      </x:c>
      <x:c r="J38" s="72" t="str">
        <x:v>User &amp; KYC Module</x:v>
      </x:c>
      <x:c r="K38" s="72" t="str">
        <x:v>TC-Sec-05</x:v>
      </x:c>
      <x:c r="L38" s="72" t="str">
        <x:v>TC-Sec-05, TC-Sec-10</x:v>
      </x:c>
      <x:c r="M38" s="78" t="str">
        <x:v>https://github.com/Thijil-Thejaswi-MN/Team-11/issues/24</x:v>
      </x:c>
      <x:c r="N38" s="72" t="str">
        <x:v>Sharana</x:v>
      </x:c>
      <x:c r="O38" s="110" t="str">
        <x:v>Sprint 2</x:v>
      </x:c>
      <x:c r="P38" s="108"/>
      <x:c r="Q38" s="84" t="str">
        <x:v>Not Run</x:v>
      </x:c>
      <x:c r="R38" s="82" t="str">
        <x:v>STP adds/extends test coverage: TC-Sec-10</x:v>
      </x:c>
      <x:c r="S38" s="72"/>
      <x:c r="T38" s="109" t="str"/>
      <x:c r="U38" s="109" t="str"/>
    </x:row>
    <x:row r="39" ht="88" customHeight="1">
      <x:c r="A39" s="98" t="str">
        <x:v>INS-SR-006</x:v>
      </x:c>
      <x:c r="B39" s="99" t="str">
        <x:v>Input validation and injection defence</x:v>
      </x:c>
      <x:c r="C39" s="99" t="str">
        <x:v>Security</x:v>
      </x:c>
      <x:c r="D39" s="99" t="str">
        <x:v>High</x:v>
      </x:c>
      <x:c r="E39" s="72" t="str">
        <x:v>The system shall validate all user input on the server, use parameterised queries for all database access, and apply context-appropriate output encoding to prevent SQL injection and cross-site scripting (XSS) (OWASP Top 10). (Objective SO-2)</x:v>
      </x:c>
      <x:c r="F39" s="72" t="str">
        <x:v>No string-built SQL exists in code review; injection and XSS test strings are neither executed nor rendered as script. Test: TC-Sec-06</x:v>
      </x:c>
      <x:c r="G39" s="72"/>
      <x:c r="H39" s="72"/>
      <x:c r="I39" s="72" t="str">
        <x:v>5.1.2 / DS-Sec-06</x:v>
      </x:c>
      <x:c r="J39" s="72" t="str">
        <x:v>All modules</x:v>
      </x:c>
      <x:c r="K39" s="72" t="str">
        <x:v>TC-Sec-06</x:v>
      </x:c>
      <x:c r="L39" s="72" t="str">
        <x:v>TC-Sec-06</x:v>
      </x:c>
      <x:c r="M39" s="78" t="str">
        <x:v>https://github.com/Thijil-Thejaswi-MN/Team-11/issues/25</x:v>
      </x:c>
      <x:c r="N39" s="72" t="str">
        <x:v>Sharana</x:v>
      </x:c>
      <x:c r="O39" s="110" t="str">
        <x:v>Sprint 1 → Sprint 2 (carryover)</x:v>
      </x:c>
      <x:c r="P39" s="108"/>
      <x:c r="Q39" s="84" t="str">
        <x:v>Not Run</x:v>
      </x:c>
      <x:c r="R39" s="72" t="str">
        <x:v>Mappings agree</x:v>
      </x:c>
      <x:c r="S39" s="72"/>
      <x:c r="T39" s="109" t="str"/>
      <x:c r="U39" s="109" t="str"/>
    </x:row>
    <x:row r="40" ht="72" customHeight="1">
      <x:c r="A40" s="98" t="str">
        <x:v>INS-SR-007</x:v>
      </x:c>
      <x:c r="B40" s="99" t="str">
        <x:v>Secure file upload</x:v>
      </x:c>
      <x:c r="C40" s="99" t="str">
        <x:v>Security</x:v>
      </x:c>
      <x:c r="D40" s="99" t="str">
        <x:v>Medium</x:v>
      </x:c>
      <x:c r="E40" s="72" t="str">
        <x:v>Uploaded files shall be limited to PDF/JPG/PNG up to 5 MB and shall be scanned (simulated) before storage. (Objective SO-2)</x:v>
      </x:c>
      <x:c r="F40" s="72" t="str">
        <x:v>An .exe upload is refused. Test: TC-Sec-07</x:v>
      </x:c>
      <x:c r="G40" s="72"/>
      <x:c r="H40" s="72"/>
      <x:c r="I40" s="72" t="str">
        <x:v>5.1.2 / DS-Sec-07</x:v>
      </x:c>
      <x:c r="J40" s="72" t="str">
        <x:v>User &amp; KYC / Claims</x:v>
      </x:c>
      <x:c r="K40" s="72" t="str">
        <x:v>TC-Sec-07</x:v>
      </x:c>
      <x:c r="L40" s="72" t="str">
        <x:v>TC-KYC-01, TC-Sec-07</x:v>
      </x:c>
      <x:c r="M40" s="78" t="str">
        <x:v>https://github.com/Thijil-Thejaswi-MN/Team-11/issues/27</x:v>
      </x:c>
      <x:c r="N40" s="72" t="str">
        <x:v>Sharana</x:v>
      </x:c>
      <x:c r="O40" s="110" t="str">
        <x:v>Sprint 1</x:v>
      </x:c>
      <x:c r="P40" s="108"/>
      <x:c r="Q40" s="84" t="str">
        <x:v>Not Run</x:v>
      </x:c>
      <x:c r="R40" s="82" t="str">
        <x:v>STP adds/extends test coverage: TC-KYC-01</x:v>
      </x:c>
      <x:c r="S40" s="72"/>
      <x:c r="T40" s="109" t="str"/>
      <x:c r="U40" s="109" t="str"/>
    </x:row>
    <x:row r="41" ht="72" customHeight="1">
      <x:c r="A41" s="98" t="str">
        <x:v>INS-SR-008</x:v>
      </x:c>
      <x:c r="B41" s="99" t="str">
        <x:v>Append-only audit log</x:v>
      </x:c>
      <x:c r="C41" s="99" t="str">
        <x:v>Security</x:v>
      </x:c>
      <x:c r="D41" s="99" t="str">
        <x:v>Medium</x:v>
      </x:c>
      <x:c r="E41" s="72" t="str">
        <x:v>Audit log entries shall be append-only and every payment and claim decision shall record the acting user. (Objective SO-3)</x:v>
      </x:c>
      <x:c r="F41" s="72" t="str">
        <x:v>No role can edit or delete a log entry. Test: TC-Sec-08</x:v>
      </x:c>
      <x:c r="G41" s="72"/>
      <x:c r="H41" s="72"/>
      <x:c r="I41" s="72" t="str">
        <x:v>5.1.2 / DS-Sec-08</x:v>
      </x:c>
      <x:c r="J41" s="72" t="str">
        <x:v>Admin &amp; Reporting</x:v>
      </x:c>
      <x:c r="K41" s="72" t="str">
        <x:v>TC-Sec-08</x:v>
      </x:c>
      <x:c r="L41" s="72" t="str">
        <x:v>TC-Aud-01, TC-Sec-08</x:v>
      </x:c>
      <x:c r="M41" s="78" t="str">
        <x:v>https://github.com/Thijil-Thejaswi-MN/Team-11/issues/28</x:v>
      </x:c>
      <x:c r="N41" s="72" t="str">
        <x:v>Sharana</x:v>
      </x:c>
      <x:c r="O41" s="110" t="str">
        <x:v>Sprint 2</x:v>
      </x:c>
      <x:c r="P41" s="108"/>
      <x:c r="Q41" s="84" t="str">
        <x:v>Not Run</x:v>
      </x:c>
      <x:c r="R41" s="82" t="str">
        <x:v>STP adds/extends test coverage: TC-Aud-01</x:v>
      </x:c>
      <x:c r="S41" s="72"/>
      <x:c r="T41" s="109" t="str"/>
      <x:c r="U41" s="109" t="str"/>
    </x:row>
  </x:sheetData>
  <x:dataValidations count="3">
    <x:dataValidation type="list" sqref="O2:O41">
      <x:formula1>"Sprint 1,Sprint 1 → Sprint 2 (carryover),Sprint 2,Sprint 2 (Tier B / deferrable)"</x:formula1>
    </x:dataValidation>
    <x:dataValidation type="list" sqref="Q2:Q41">
      <x:formula1>"Not Run,In Progress,Pass,Fail,Blocked"</x:formula1>
    </x:dataValidation>
    <x:dataValidation type="list" sqref="N2:N41">
      <x:formula1>"Thijil Thejaswi M.N.,Sharana,Samarth,Raghunandan,Unassigned"</x:formula1>
    </x:dataValidation>
  </x:dataValidations>
  <x:pageMargins left="0.7" right="0.7" top="0.75" bottom="0.75" header="0.3" footer="0.3"/>
  <x:tableParts count="1">
    <x:tablePart xmlns:r="http://schemas.openxmlformats.org/officeDocument/2006/relationships" r:id="R9d0dac828bb94daf"/>
  </x:tableParts>
</x:worksheet>
</file>

<file path=xl/worksheets/sheet3.xml><?xml version="1.0" encoding="utf-8"?>
<x:worksheet xmlns:x="http://schemas.openxmlformats.org/spreadsheetml/2006/main">
  <x:sheetFormatPr defaultRowHeight="15"/>
  <x:cols>
    <x:col min="1" max="1" width="18" hidden="0" customWidth="1"/>
    <x:col min="2" max="2" width="15" hidden="0" customWidth="1"/>
    <x:col min="3" max="3" width="17" hidden="0" customWidth="1"/>
    <x:col min="4" max="4" width="12" hidden="0" customWidth="1"/>
    <x:col min="5" max="5" width="30" hidden="0" customWidth="1"/>
    <x:col min="6" max="6" width="34" hidden="0" customWidth="1"/>
    <x:col min="7" max="7" width="36" hidden="0" customWidth="1"/>
    <x:col min="8" max="8" width="48" hidden="0" customWidth="1"/>
    <x:col min="9" max="9" width="70" hidden="0" customWidth="1"/>
    <x:col min="10" max="10" width="70" hidden="0" customWidth="1"/>
    <x:col min="11" max="11" width="17" hidden="0" customWidth="1"/>
    <x:col min="12" max="12" width="40" hidden="0" customWidth="1"/>
    <x:col min="13" max="13" width="28" hidden="0" customWidth="1"/>
    <x:col min="14" max="14" width="24" hidden="0" customWidth="1"/>
    <x:col min="15" max="15" width="42" hidden="0" customWidth="1"/>
    <x:col min="16" max="16" width="18" hidden="0" customWidth="1"/>
    <x:col min="17" max="17" width="22" hidden="0" customWidth="1"/>
  </x:cols>
  <x:sheetData>
    <x:row r="1" ht="42" customHeight="1">
      <x:c r="A1" s="103" t="str">
        <x:v>Test Case ID</x:v>
      </x:c>
      <x:c r="B1" s="103" t="str">
        <x:v>Test Level</x:v>
      </x:c>
      <x:c r="C1" s="103" t="str">
        <x:v>Test Type</x:v>
      </x:c>
      <x:c r="D1" s="103" t="str">
        <x:v>Priority</x:v>
      </x:c>
      <x:c r="E1" s="103" t="str">
        <x:v>Requirement ID(s) (STP)</x:v>
      </x:c>
      <x:c r="F1" s="103" t="str">
        <x:v>Design / API Reference (STP)</x:v>
      </x:c>
      <x:c r="G1" s="103" t="str">
        <x:v>Scenario</x:v>
      </x:c>
      <x:c r="H1" s="103" t="str">
        <x:v>Preconditions</x:v>
      </x:c>
      <x:c r="I1" s="103" t="str">
        <x:v>Steps (STP Appendix A)</x:v>
      </x:c>
      <x:c r="J1" s="103" t="str">
        <x:v>Expected Result (STP Appendix A)</x:v>
      </x:c>
      <x:c r="K1" s="103" t="str">
        <x:v>Execution Status</x:v>
      </x:c>
      <x:c r="L1" s="103" t="str">
        <x:v>Actual Result / Evidence</x:v>
      </x:c>
      <x:c r="M1" s="103" t="str">
        <x:v>Defect ID / Notes</x:v>
      </x:c>
      <x:c r="N1" s="103" t="str">
        <x:v>Author</x:v>
      </x:c>
      <x:c r="O1" s="103" t="str">
        <x:v>Independent Executor</x:v>
      </x:c>
      <x:c r="P1" s="103" t="str">
        <x:v>Sprint</x:v>
      </x:c>
      <x:c r="Q1" s="103" t="str">
        <x:v>GitHub Issue #</x:v>
      </x:c>
    </x:row>
    <x:row r="2" ht="102" customHeight="1">
      <x:c r="A2" s="90" t="str">
        <x:v>TC-Acc-01</x:v>
      </x:c>
      <x:c r="B2" s="72" t="str">
        <x:v>System</x:v>
      </x:c>
      <x:c r="C2" s="72" t="str">
        <x:v>Functional</x:v>
      </x:c>
      <x:c r="D2" s="72" t="str">
        <x:v>High</x:v>
      </x:c>
      <x:c r="E2" s="72" t="str">
        <x:v>INS-F-001</x:v>
      </x:c>
      <x:c r="F2" s="72" t="str">
        <x:v>POST /auth/register, /auth/login</x:v>
      </x:c>
      <x:c r="G2" s="72" t="str">
        <x:v>Register and log in</x:v>
      </x:c>
      <x:c r="H2" s="72" t="str">
        <x:v>No account with email asha@example.test. Clock fixed.</x:v>
      </x:c>
      <x:c r="I2" s="72" t="str">
        <x:v>1. POST /auth/register with valid name, email, phone, password. 2. POST /auth/login with the same email and password. 3. Open the dashboard. 4. Repeat register with the same email. 5. Log in with a wrong password, then with an unknown email.</x:v>
      </x:c>
      <x:c r="J2" s="72" t="str">
        <x:v>• 201 with userId; login 200 with accessToken and role Customer; Customer dashboard shown. • Second register returns 409. • Wrong password and unknown email both return 401 with the same message.</x:v>
      </x:c>
      <x:c r="K2" s="84" t="str">
        <x:v>Not Run</x:v>
      </x:c>
      <x:c r="L2" s="72"/>
      <x:c r="M2" s="72"/>
      <x:c r="N2" s="111" t="str">
        <x:v>Sharana</x:v>
      </x:c>
      <x:c r="O2" s="109" t="str">
        <x:v>Thijil Thejaswi M.N.</x:v>
      </x:c>
      <x:c r="P2" s="111" t="str">
        <x:v>Sprint 1</x:v>
      </x:c>
      <x:c r="Q2" s="109" t="str">
        <x:v>#15</x:v>
      </x:c>
    </x:row>
    <x:row r="3" ht="116" customHeight="1">
      <x:c r="A3" s="90" t="str">
        <x:v>TC-Acc-02</x:v>
      </x:c>
      <x:c r="B3" s="72" t="str">
        <x:v>System</x:v>
      </x:c>
      <x:c r="C3" s="72" t="str">
        <x:v>Functional</x:v>
      </x:c>
      <x:c r="D3" s="72" t="str">
        <x:v>High</x:v>
      </x:c>
      <x:c r="E3" s="72" t="str">
        <x:v>INS-F-001, INS-SR-003</x:v>
      </x:c>
      <x:c r="F3" s="72" t="str">
        <x:v>POST /admin/users</x:v>
      </x:c>
      <x:c r="G3" s="72" t="str">
        <x:v>Role controls access; staff need an insurer</x:v>
      </x:c>
      <x:c r="H3" s="72" t="str">
        <x:v>Accounts CUST-1, A-ADM, SYS-ADM exist.</x:v>
      </x:c>
      <x:c r="I3" s="72" t="str">
        <x:v>1. Log in as CUST-1 and open an Insurer Admin page (plan editor) and call POST /plans. 2. Log in as A-ADM and open the Customer 'My Policies' page. 3. As SYS-ADM create a staff user with role Underwriter and no insurer. 4. As SYS-ADM create a staff user with role Underwriter and insurer A.</x:v>
      </x:c>
      <x:c r="J3" s="72" t="str">
        <x:v>• Step 1 and 2: access denied (403 / page not available). • Step 3: rejected with VALID-422 (staff account must have an insurer). • Step 4: created; the new user can log in and sees the Underwriter dashboard.</x:v>
      </x:c>
      <x:c r="K3" s="84" t="str">
        <x:v>Not Run</x:v>
      </x:c>
      <x:c r="L3" s="72"/>
      <x:c r="M3" s="72"/>
      <x:c r="N3" s="111" t="str">
        <x:v>Sharana</x:v>
      </x:c>
      <x:c r="O3" s="109" t="str">
        <x:v>Thijil Thejaswi M.N.</x:v>
      </x:c>
      <x:c r="P3" s="111" t="str">
        <x:v>Sprint 2</x:v>
      </x:c>
      <x:c r="Q3" s="109" t="str">
        <x:v>#15, #23</x:v>
      </x:c>
    </x:row>
    <x:row r="4" ht="116" customHeight="1">
      <x:c r="A4" s="90" t="str">
        <x:v>TC-KYC-01</x:v>
      </x:c>
      <x:c r="B4" s="72" t="str">
        <x:v>System</x:v>
      </x:c>
      <x:c r="C4" s="72" t="str">
        <x:v>Functional</x:v>
      </x:c>
      <x:c r="D4" s="72" t="str">
        <x:v>High</x:v>
      </x:c>
      <x:c r="E4" s="72" t="str">
        <x:v>INS-F-002, INS-SR-007</x:v>
      </x:c>
      <x:c r="F4" s="72" t="str">
        <x:v>POST /kyc, GET /kyc/status, POST /applications</x:v>
      </x:c>
      <x:c r="G4" s="72" t="str">
        <x:v>KYC verification and blocking</x:v>
      </x:c>
      <x:c r="H4" s="72" t="str">
        <x:v>CUST-2 has no KYC. Mock KYC service: PAN ABCDE1234F = Verified, ZZZZZ0000Z = Rejected.</x:v>
      </x:c>
      <x:c r="I4" s="72" t="str">
        <x:v>1. Log in as CUST-2; POST /kyc with PAN ABCDE1234F and a valid PDF. 2. GET /kyc/status. 3. Create a new user CUST-4; POST /kyc with PAN ZZZZZ0000Z. 4. As CUST-4 call POST /applications for a quoted plan. 5. As CUST-4 re-submit KYC with PAN ABCDE1234F and call POST /applications again.</x:v>
      </x:c>
      <x:c r="J4" s="72" t="str">
        <x:v>• Step 1-2: status Verified. • Step 3: status Rejected. • Step 4: 403 (KYC not verified), no application created. • Step 5: KYC Verified and the application is accepted (201).</x:v>
      </x:c>
      <x:c r="K4" s="84" t="str">
        <x:v>Not Run</x:v>
      </x:c>
      <x:c r="L4" s="72"/>
      <x:c r="M4" s="72"/>
      <x:c r="N4" s="111" t="str">
        <x:v>Sharana</x:v>
      </x:c>
      <x:c r="O4" s="109" t="str">
        <x:v>Thijil Thejaswi M.N.</x:v>
      </x:c>
      <x:c r="P4" s="111" t="str">
        <x:v>Sprint 1</x:v>
      </x:c>
      <x:c r="Q4" s="109" t="str">
        <x:v>#16, #27</x:v>
      </x:c>
    </x:row>
    <x:row r="5" ht="130" customHeight="1">
      <x:c r="A5" s="90" t="str">
        <x:v>TC-Plan-01</x:v>
      </x:c>
      <x:c r="B5" s="72" t="str">
        <x:v>System</x:v>
      </x:c>
      <x:c r="C5" s="72" t="str">
        <x:v>Functional</x:v>
      </x:c>
      <x:c r="D5" s="72" t="str">
        <x:v>High</x:v>
      </x:c>
      <x:c r="E5" s="72" t="str">
        <x:v>INS-F-003, INS-SR-003</x:v>
      </x:c>
      <x:c r="F5" s="72" t="str">
        <x:v>POST/PUT/PATCH /plans, GET /plans</x:v>
      </x:c>
      <x:c r="G5" s="72" t="str">
        <x:v>Insurer Admin manages plans</x:v>
      </x:c>
      <x:c r="H5" s="72" t="str">
        <x:v>A-ADM and B-ADM logged in.</x:v>
      </x:c>
      <x:c r="I5" s="72" t="str">
        <x:v>1. As A-ADM POST /plans: type 4W, coverage, deductible, premium rule base 2%, add-on ZERO_DEP. 2. As a customer GET /plans and look for the new plan. 3. As A-ADM PATCH /plans/{id} {active:false}; GET /plans again. 4. As B-ADM PUT /plans/{id} of insurer A's plan. 5. As A-ADM POST /plans with a negative premium rule.</x:v>
      </x:c>
      <x:c r="J5" s="72" t="str">
        <x:v>• Step 2: plan appears with all attributes (premium rule, coverage, deductible, add-ons). • Step 3: plan no longer listed. • Step 4: 403 (other insurer). • Step 5: 422 invalid values.</x:v>
      </x:c>
      <x:c r="K5" s="84" t="str">
        <x:v>Not Run</x:v>
      </x:c>
      <x:c r="L5" s="72"/>
      <x:c r="M5" s="72"/>
      <x:c r="N5" s="111" t="str">
        <x:v>Sharana</x:v>
      </x:c>
      <x:c r="O5" s="109" t="str">
        <x:v>Raghunandan-Kotary</x:v>
      </x:c>
      <x:c r="P5" s="111" t="str">
        <x:v>Sprint 1</x:v>
      </x:c>
      <x:c r="Q5" s="109" t="str">
        <x:v>#17, #23</x:v>
      </x:c>
    </x:row>
    <x:row r="6" ht="102" customHeight="1">
      <x:c r="A6" s="90" t="str">
        <x:v>TC-Plan-02</x:v>
      </x:c>
      <x:c r="B6" s="72" t="str">
        <x:v>System</x:v>
      </x:c>
      <x:c r="C6" s="72" t="str">
        <x:v>Functional</x:v>
      </x:c>
      <x:c r="D6" s="72" t="str">
        <x:v>High</x:v>
      </x:c>
      <x:c r="E6" s="72" t="str">
        <x:v>INS-F-004</x:v>
      </x:c>
      <x:c r="F6" s="72" t="str">
        <x:v>GET /plans, /plans/compare</x:v>
      </x:c>
      <x:c r="G6" s="72" t="str">
        <x:v>Browse and compare plans</x:v>
      </x:c>
      <x:c r="H6" s="72" t="str">
        <x:v>At least 4 active health plans from insurers A and B. No login.</x:v>
      </x:c>
      <x:c r="I6" s="72" t="str">
        <x:v>1. GET /plans?type=HEALTH without a token. 2. GET /plans/compare?ids=11,14,19. 3. GET /plans/compare?ids=11,14,19,21. 4. GET /plans/compare?ids=11,999.</x:v>
      </x:c>
      <x:c r="J6" s="72" t="str">
        <x:v>• Step 1: list returned without login (public browsing, SRS UC-04). • Step 2: one table with premium, coverage, deductible, waiting period, add-ons for the 3 plans. • Step 3: 400 (more than 3). • Step 4: 404 unknown plan.</x:v>
      </x:c>
      <x:c r="K6" s="84" t="str">
        <x:v>Not Run</x:v>
      </x:c>
      <x:c r="L6" s="72"/>
      <x:c r="M6" s="72"/>
      <x:c r="N6" s="111" t="str">
        <x:v>Sharana</x:v>
      </x:c>
      <x:c r="O6" s="109" t="str">
        <x:v>Raghunandan-Kotary</x:v>
      </x:c>
      <x:c r="P6" s="111" t="str">
        <x:v>Sprint 1</x:v>
      </x:c>
      <x:c r="Q6" s="109" t="str">
        <x:v>#18</x:v>
      </x:c>
    </x:row>
    <x:row r="7" ht="74" customHeight="1">
      <x:c r="A7" s="90" t="str">
        <x:v>TC-Plan-03</x:v>
      </x:c>
      <x:c r="B7" s="72" t="str">
        <x:v>Integration</x:v>
      </x:c>
      <x:c r="C7" s="72" t="str">
        <x:v>Functional</x:v>
      </x:c>
      <x:c r="D7" s="72" t="str">
        <x:v>Medium</x:v>
      </x:c>
      <x:c r="E7" s="72" t="str">
        <x:v>INS-F-022</x:v>
      </x:c>
      <x:c r="F7" s="72" t="str">
        <x:v>GET /plans?...</x:v>
      </x:c>
      <x:c r="G7" s="72" t="str">
        <x:v>Search and filter plans</x:v>
      </x:c>
      <x:c r="H7" s="72" t="str">
        <x:v>Plans: PLAN-A-H1 (premium 8,500), PLAN-A-H2 (premium 14,000), PLAN-B-H1 (premium 9,200), PLAN-A-M1 (motor).</x:v>
      </x:c>
      <x:c r="I7" s="72" t="str">
        <x:v>1. Filter type=HEALTH &amp; premiumMax=10000. 2. Filter insurer=A &amp; type=HEALTH. 3. Filter coverageMin=1000000. 4. Filter premiumMax=abc.</x:v>
      </x:c>
      <x:c r="J7" s="72" t="str">
        <x:v>• Step 1: PLAN-A-H1 and PLAN-B-H1 only. • Step 2: PLAN-A-H1 and PLAN-A-H2 only. • Step 3: only plans with coverage of 10 lakh or more. • Step 4: 400 bad filter.</x:v>
      </x:c>
      <x:c r="K7" s="84" t="str">
        <x:v>Not Run</x:v>
      </x:c>
      <x:c r="L7" s="72"/>
      <x:c r="M7" s="72"/>
      <x:c r="N7" s="111" t="str">
        <x:v>Sharana</x:v>
      </x:c>
      <x:c r="O7" s="109" t="str">
        <x:v>Raghunandan-Kotary</x:v>
      </x:c>
      <x:c r="P7" s="111" t="str">
        <x:v>Sprint 2</x:v>
      </x:c>
      <x:c r="Q7" s="109" t="str">
        <x:v>#21</x:v>
      </x:c>
    </x:row>
    <x:row r="8" ht="116" customHeight="1">
      <x:c r="A8" s="90" t="str">
        <x:v>TC-Quote-01</x:v>
      </x:c>
      <x:c r="B8" s="72" t="str">
        <x:v>Integration</x:v>
      </x:c>
      <x:c r="C8" s="72" t="str">
        <x:v>Functional</x:v>
      </x:c>
      <x:c r="D8" s="72" t="str">
        <x:v>High</x:v>
      </x:c>
      <x:c r="E8" s="72" t="str">
        <x:v>INS-F-005, INS-NF-001</x:v>
      </x:c>
      <x:c r="F8" s="72" t="str">
        <x:v>POST /quotes/motor</x:v>
      </x:c>
      <x:c r="G8" s="72" t="str">
        <x:v>Motor quote follows the rating rule</x:v>
      </x:c>
      <x:c r="H8" s="72" t="str">
        <x:v>Fixture R-M for PLAN-A-M1: base 2% of IDV; vehicle age loading 5% of base for age 6-10 years; ZERO_DEP flat Rs 1,080. CUST-1 logged in; clock year 2026.</x:v>
      </x:c>
      <x:c r="I8" s="72" t="str">
        <x:v>1. POST /quotes/motor: IDV 4,00,000, regYear 2019, add-on ZERO_DEP. 2. POST /quotes/motor: IDV 4,00,000, regYear 2024, no add-ons. 3. POST /quotes/motor: IDV 6,00,000, regYear 2024, no add-ons. 4. POST /quotes/motor with regYear 2030 or IDV 0. 5. Measure the response time of step 1.</x:v>
      </x:c>
      <x:c r="J8" s="72" t="str">
        <x:v>• Step 1: premium Rs 9,480 (8,000 + 400 + 1,080) with breakdown. • Step 2: Rs 8,000. • Step 3: Rs 12,000. • Step 4: 422 invalid vehicle data. • Step 5: 5 seconds or less.</x:v>
      </x:c>
      <x:c r="K8" s="84" t="str">
        <x:v>Not Run</x:v>
      </x:c>
      <x:c r="L8" s="72"/>
      <x:c r="M8" s="72"/>
      <x:c r="N8" s="111" t="str">
        <x:v>Thijil Thejaswi M.N.</x:v>
      </x:c>
      <x:c r="O8" s="109" t="str">
        <x:v>Sharana</x:v>
      </x:c>
      <x:c r="P8" s="111" t="str">
        <x:v>Sprint 1</x:v>
      </x:c>
      <x:c r="Q8" s="109" t="str">
        <x:v>#1, #13</x:v>
      </x:c>
    </x:row>
    <x:row r="9" ht="116" customHeight="1">
      <x:c r="A9" s="90" t="str">
        <x:v>TC-Quote-02</x:v>
      </x:c>
      <x:c r="B9" s="72" t="str">
        <x:v>Integration</x:v>
      </x:c>
      <x:c r="C9" s="72" t="str">
        <x:v>Functional</x:v>
      </x:c>
      <x:c r="D9" s="72" t="str">
        <x:v>High</x:v>
      </x:c>
      <x:c r="E9" s="72" t="str">
        <x:v>INS-F-006, INS-NF-001</x:v>
      </x:c>
      <x:c r="F9" s="72" t="str">
        <x:v>POST /quotes/health</x:v>
      </x:c>
      <x:c r="G9" s="72" t="str">
        <x:v>Health quote follows the rating rule</x:v>
      </x:c>
      <x:c r="H9" s="72" t="str">
        <x:v>Fixture R-H for PLAN-A-H1: member base by age 18-35 = 3,000; 36-45 = 4,500; 46-59 = 7,000; 60+ = 10,000; sum insured multiplier 5 lakh = 1.0, 10 lakh = 1.6; pre-existing = x1.2.</x:v>
      </x:c>
      <x:c r="I9" s="72" t="str">
        <x:v>1. Quote: 1 member age 45, sum insured 5 lakh, pre-existing No. 2. Quote: 2 members ages 30 and 32, 5 lakh, No. 3. Same as step 2 with sum insured 10 lakh. 4. Same as step 2 with pre-existing Yes. 5. Quote with no members or sum insured not offered by the plan.</x:v>
      </x:c>
      <x:c r="J9" s="72" t="str">
        <x:v>• Step 1: Rs 4,500. • Step 2: Rs 6,000. • Step 3: Rs 9,600 (premium rises with sum insured). • Step 4: Rs 7,200 (premium rises with pre-existing condition). • Step 5: 422.</x:v>
      </x:c>
      <x:c r="K9" s="84" t="str">
        <x:v>Not Run</x:v>
      </x:c>
      <x:c r="L9" s="72"/>
      <x:c r="M9" s="72"/>
      <x:c r="N9" s="111" t="str">
        <x:v>Thijil Thejaswi M.N.</x:v>
      </x:c>
      <x:c r="O9" s="109" t="str">
        <x:v>Sharana</x:v>
      </x:c>
      <x:c r="P9" s="111" t="str">
        <x:v>Sprint 1</x:v>
      </x:c>
      <x:c r="Q9" s="109" t="str">
        <x:v>#5, #13</x:v>
      </x:c>
    </x:row>
    <x:row r="10" ht="88" customHeight="1">
      <x:c r="A10" s="90" t="str">
        <x:v>TC-App-01</x:v>
      </x:c>
      <x:c r="B10" s="72" t="str">
        <x:v>System</x:v>
      </x:c>
      <x:c r="C10" s="72" t="str">
        <x:v>Functional</x:v>
      </x:c>
      <x:c r="D10" s="72" t="str">
        <x:v>High</x:v>
      </x:c>
      <x:c r="E10" s="72" t="str">
        <x:v>INS-F-007</x:v>
      </x:c>
      <x:c r="F10" s="72" t="str">
        <x:v>POST /applications; SD-1</x:v>
      </x:c>
      <x:c r="G10" s="72" t="str">
        <x:v>Submit an application</x:v>
      </x:c>
      <x:c r="H10" s="72" t="str">
        <x:v>CUST-1 (KYC Verified) with a saved quote for PLAN-A-M1; CUST-2 (no KYC).</x:v>
      </x:c>
      <x:c r="I10" s="72" t="str">
        <x:v>1. CUST-1: POST /applications with quoteId and documentIds. 2. Read the application history. 3. CUST-2: POST /applications. 4. CUST-1: POST /applications with a missing mandatory document.</x:v>
      </x:c>
      <x:c r="J10" s="72" t="str">
        <x:v>• Step 1: 201 with applicationId. • Step 2: history shows Submitted (persisted first) and then the underwriting outcome (SAD 4.1.2). • Step 3: 403 KYC not verified. • Step 4: 422 and no application created.</x:v>
      </x:c>
      <x:c r="K10" s="84" t="str">
        <x:v>Not Run</x:v>
      </x:c>
      <x:c r="L10" s="72"/>
      <x:c r="M10" s="72"/>
      <x:c r="N10" s="111" t="str">
        <x:v>Samarth</x:v>
      </x:c>
      <x:c r="O10" s="109" t="str">
        <x:v>Sharana</x:v>
      </x:c>
      <x:c r="P10" s="111" t="str">
        <x:v>Sprint 1</x:v>
      </x:c>
      <x:c r="Q10" s="109" t="str">
        <x:v>#2</x:v>
      </x:c>
    </x:row>
    <x:row r="11" ht="88" customHeight="1">
      <x:c r="A11" s="90" t="str">
        <x:v>TC-UW-01</x:v>
      </x:c>
      <x:c r="B11" s="72" t="str">
        <x:v>Unit</x:v>
      </x:c>
      <x:c r="C11" s="72" t="str">
        <x:v>Functional</x:v>
      </x:c>
      <x:c r="D11" s="72" t="str">
        <x:v>High</x:v>
      </x:c>
      <x:c r="E11" s="72" t="str">
        <x:v>INS-F-010</x:v>
      </x:c>
      <x:c r="F11" s="72" t="str">
        <x:v>IUnderwriting.evaluate; SRS 4.4.1</x:v>
      </x:c>
      <x:c r="G11" s="72" t="str">
        <x:v>Motor underwriting rules (boundary values)</x:v>
      </x:c>
      <x:c r="H11" s="72" t="str">
        <x:v>Clock year 2026; vehicle age = 2026 - regYear. KYC Verified applicant. Run each row as a unit test and once through POST /applications.</x:v>
      </x:c>
      <x:c r="I11" s="72" t="str">
        <x:v>1. Vehicle age 8 (regYear 2018). 2. Age 15 (2011). 3. Age 16 (2010). 4. Age 20 (2006). 5. Age 21 (2005). 6. Age 22 (2004). 7. Age 5 but an active policy already exists for the same registration number.</x:v>
      </x:c>
      <x:c r="J11" s="72" t="str">
        <x:v>• Age 8: Auto-Approve. • Age 15: Auto-Approve. • Age 16: Refer. • Age 20: Refer. • Age 21: Reject. • Age 22: Reject. • Reject (duplicate active policy).</x:v>
      </x:c>
      <x:c r="K11" s="84" t="str">
        <x:v>Not Run</x:v>
      </x:c>
      <x:c r="L11" s="72"/>
      <x:c r="M11" s="72"/>
      <x:c r="N11" s="111" t="str">
        <x:v>Thijil Thejaswi M.N.</x:v>
      </x:c>
      <x:c r="O11" s="109" t="str">
        <x:v>Raghunandan-Kotary</x:v>
      </x:c>
      <x:c r="P11" s="111" t="str">
        <x:v>Sprint 1</x:v>
      </x:c>
      <x:c r="Q11" s="109" t="str">
        <x:v>#6</x:v>
      </x:c>
    </x:row>
    <x:row r="12" ht="74" customHeight="1">
      <x:c r="A12" s="90" t="str">
        <x:v>TC-UW-02</x:v>
      </x:c>
      <x:c r="B12" s="72" t="str">
        <x:v>Unit</x:v>
      </x:c>
      <x:c r="C12" s="72" t="str">
        <x:v>Functional</x:v>
      </x:c>
      <x:c r="D12" s="72" t="str">
        <x:v>High</x:v>
      </x:c>
      <x:c r="E12" s="72" t="str">
        <x:v>INS-F-010</x:v>
      </x:c>
      <x:c r="F12" s="72" t="str">
        <x:v>IUnderwriting.evaluate; SRS 4.4.1</x:v>
      </x:c>
      <x:c r="G12" s="72" t="str">
        <x:v>Health underwriting rules (boundary values and precedence)</x:v>
      </x:c>
      <x:c r="H12" s="72" t="str">
        <x:v>Applicant age is the age of the oldest insured member (assumption A-T3).</x:v>
      </x:c>
      <x:c r="I12" s="72" t="str">
        <x:v>1. Age 45, no pre-existing disease. 2. Age 59, no. 3. Age 60, no. 4. Age 70, no. 5. Age 71, no. 6. Age 30, pre-existing disease Yes. 7. Age 72, pre-existing Yes.</x:v>
      </x:c>
      <x:c r="J12" s="72" t="str">
        <x:v>• Auto-Approve. • Auto-Approve. • Refer. • Refer. • Reject. • Refer. • Reject (strictest outcome wins).</x:v>
      </x:c>
      <x:c r="K12" s="84" t="str">
        <x:v>Not Run</x:v>
      </x:c>
      <x:c r="L12" s="72"/>
      <x:c r="M12" s="72"/>
      <x:c r="N12" s="111" t="str">
        <x:v>Thijil Thejaswi M.N.</x:v>
      </x:c>
      <x:c r="O12" s="109" t="str">
        <x:v>Raghunandan-Kotary</x:v>
      </x:c>
      <x:c r="P12" s="111" t="str">
        <x:v>Sprint 1</x:v>
      </x:c>
      <x:c r="Q12" s="109" t="str">
        <x:v>#6</x:v>
      </x:c>
    </x:row>
    <x:row r="13" ht="60" customHeight="1">
      <x:c r="A13" s="90" t="str">
        <x:v>TC-UW-03</x:v>
      </x:c>
      <x:c r="B13" s="72" t="str">
        <x:v>Integration</x:v>
      </x:c>
      <x:c r="C13" s="72" t="str">
        <x:v>Functional</x:v>
      </x:c>
      <x:c r="D13" s="72" t="str">
        <x:v>Medium</x:v>
      </x:c>
      <x:c r="E13" s="72" t="str">
        <x:v>INS-F-010</x:v>
      </x:c>
      <x:c r="F13" s="72" t="str">
        <x:v>IUnderwriting.evaluate; SD-1</x:v>
      </x:c>
      <x:c r="G13" s="72" t="str">
        <x:v>Missing rule configuration</x:v>
      </x:c>
      <x:c r="H13" s="72" t="str">
        <x:v>Plan PLAN-A-H3 created without underwriting rules.</x:v>
      </x:c>
      <x:c r="I13" s="72" t="str">
        <x:v>1. Submit a valid application for PLAN-A-H3. 2. Open the Underwriter queue of insurer A.</x:v>
      </x:c>
      <x:c r="J13" s="72" t="str">
        <x:v>• Outcome Refer; no automatic decision. • Application is in the queue with the reason 'Missing rule configuration'.</x:v>
      </x:c>
      <x:c r="K13" s="84" t="str">
        <x:v>Not Run</x:v>
      </x:c>
      <x:c r="L13" s="72"/>
      <x:c r="M13" s="72"/>
      <x:c r="N13" s="111" t="str">
        <x:v>Thijil Thejaswi M.N.</x:v>
      </x:c>
      <x:c r="O13" s="109" t="str">
        <x:v>Sharana</x:v>
      </x:c>
      <x:c r="P13" s="111" t="str">
        <x:v>Sprint 1</x:v>
      </x:c>
      <x:c r="Q13" s="109" t="str">
        <x:v>#6</x:v>
      </x:c>
    </x:row>
    <x:row r="14" ht="116" customHeight="1">
      <x:c r="A14" s="90" t="str">
        <x:v>TC-UW-04</x:v>
      </x:c>
      <x:c r="B14" s="72" t="str">
        <x:v>System</x:v>
      </x:c>
      <x:c r="C14" s="72" t="str">
        <x:v>Functional</x:v>
      </x:c>
      <x:c r="D14" s="72" t="str">
        <x:v>High</x:v>
      </x:c>
      <x:c r="E14" s="72" t="str">
        <x:v>INS-F-011, INS-F-016, INS-SR-003</x:v>
      </x:c>
      <x:c r="F14" s="72" t="str">
        <x:v>GET /applications/referred, POST /applications/{id}/decision; SD-1</x:v>
      </x:c>
      <x:c r="G14" s="72" t="str">
        <x:v>Manual review of referred applications</x:v>
      </x:c>
      <x:c r="H14" s="72" t="str">
        <x:v>Referred application R-1 for insurer A; A-UW and B-UW exist.</x:v>
      </x:c>
      <x:c r="I14" s="72" t="str">
        <x:v>1. A-UW: GET /applications/referred. 2. B-UW: GET /applications/referred and GET/POST on R-1. 3. A-UW: POST /applications/{id}/decision with Approve and a reason. 4. Repeat the decision on another referred application with Reject and no reason. 5. Decide an application that is already decided.</x:v>
      </x:c>
      <x:c r="J14" s="72" t="str">
        <x:v>• Step 1: R-1 listed. Step 2: R-1 not listed for B-UW; direct access 403. • Step 3: status Approved, customer receives APPLICATION_APPROVED, audit entry written. • Step 4: 422 reason required. • Step 5: 409 wrong state.</x:v>
      </x:c>
      <x:c r="K14" s="84" t="str">
        <x:v>Not Run</x:v>
      </x:c>
      <x:c r="L14" s="72"/>
      <x:c r="M14" s="72"/>
      <x:c r="N14" s="111" t="str">
        <x:v>Thijil Thejaswi M.N.</x:v>
      </x:c>
      <x:c r="O14" s="109" t="str">
        <x:v>Sharana</x:v>
      </x:c>
      <x:c r="P14" s="111" t="str">
        <x:v>Sprint 2</x:v>
      </x:c>
      <x:c r="Q14" s="109" t="str">
        <x:v>#10, #34, #23</x:v>
      </x:c>
    </x:row>
    <x:row r="15" ht="88" customHeight="1">
      <x:c r="A15" s="90" t="str">
        <x:v>TC-Pay-01</x:v>
      </x:c>
      <x:c r="B15" s="72" t="str">
        <x:v>System</x:v>
      </x:c>
      <x:c r="C15" s="72" t="str">
        <x:v>Functional</x:v>
      </x:c>
      <x:c r="D15" s="72" t="str">
        <x:v>High</x:v>
      </x:c>
      <x:c r="E15" s="72" t="str">
        <x:v>INS-F-008, INS-F-009</x:v>
      </x:c>
      <x:c r="F15" s="72" t="str">
        <x:v>POST /payments; SD-2</x:v>
      </x:c>
      <x:c r="G15" s="72" t="str">
        <x:v>Successful payment issues the policy</x:v>
      </x:c>
      <x:c r="H15" s="72" t="str">
        <x:v>Approved application AP-1 (premium Rs 9,480). Mock gateway set to SUCCESS.</x:v>
      </x:c>
      <x:c r="I15" s="72" t="str">
        <x:v>1. CUST-1: POST /payments {applicationId: AP-1}. 2. Read the application and payment records. 3. Open My Policies.</x:v>
      </x:c>
      <x:c r="J15" s="72" t="str">
        <x:v>• 200 paymentStatus Success with policyNo. • Application status Paid; one Payment row (kind PREMIUM, attemptNo 1, status SUCCESS). • Policy Active with the policy number.</x:v>
      </x:c>
      <x:c r="K15" s="84" t="str">
        <x:v>Not Run</x:v>
      </x:c>
      <x:c r="L15" s="72"/>
      <x:c r="M15" s="72"/>
      <x:c r="N15" s="111" t="str">
        <x:v>Raghunandan-Kotary</x:v>
      </x:c>
      <x:c r="O15" s="109" t="str">
        <x:v>Sharana</x:v>
      </x:c>
      <x:c r="P15" s="111" t="str">
        <x:v>Sprint 1</x:v>
      </x:c>
      <x:c r="Q15" s="109" t="str">
        <x:v>#42, #3</x:v>
      </x:c>
    </x:row>
    <x:row r="16" ht="102" customHeight="1">
      <x:c r="A16" s="90" t="str">
        <x:v>TC-Pay-02</x:v>
      </x:c>
      <x:c r="B16" s="72" t="str">
        <x:v>System</x:v>
      </x:c>
      <x:c r="C16" s="72" t="str">
        <x:v>Functional</x:v>
      </x:c>
      <x:c r="D16" s="72" t="str">
        <x:v>High</x:v>
      </x:c>
      <x:c r="E16" s="72" t="str">
        <x:v>INS-F-008</x:v>
      </x:c>
      <x:c r="F16" s="72" t="str">
        <x:v>POST /payments; SD-2</x:v>
      </x:c>
      <x:c r="G16" s="72" t="str">
        <x:v>Failed payment, retry and wrong state</x:v>
      </x:c>
      <x:c r="H16" s="72" t="str">
        <x:v>Approved application AP-2. Mock gateway can be switched between FAILED and SUCCESS.</x:v>
      </x:c>
      <x:c r="I16" s="72" t="str">
        <x:v>1. Set FAILED; POST /payments. 2. Check policies. 3. Set SUCCESS; POST /payments again. 4. POST /payments for an application in state Referred.</x:v>
      </x:c>
      <x:c r="J16" s="72" t="str">
        <x:v>• Step 1: 402 payment failed, retry allowed. • Step 2: no policy issued; payment row FAILED, attemptNo 1. • Step 3: new attempt (attemptNo 2, new key) succeeds and the policy is issued. • Step 4: 409 application not Approved.</x:v>
      </x:c>
      <x:c r="K16" s="84" t="str">
        <x:v>Not Run</x:v>
      </x:c>
      <x:c r="L16" s="72"/>
      <x:c r="M16" s="72"/>
      <x:c r="N16" s="111" t="str">
        <x:v>Raghunandan-Kotary</x:v>
      </x:c>
      <x:c r="O16" s="109" t="str">
        <x:v>Sharana</x:v>
      </x:c>
      <x:c r="P16" s="111" t="str">
        <x:v>Sprint 1</x:v>
      </x:c>
      <x:c r="Q16" s="109" t="str">
        <x:v>#42</x:v>
      </x:c>
    </x:row>
    <x:row r="17" ht="116" customHeight="1">
      <x:c r="A17" s="90" t="str">
        <x:v>TC-Pay-03</x:v>
      </x:c>
      <x:c r="B17" s="72" t="str">
        <x:v>Integration</x:v>
      </x:c>
      <x:c r="C17" s="72" t="str">
        <x:v>Functional</x:v>
      </x:c>
      <x:c r="D17" s="72" t="str">
        <x:v>High</x:v>
      </x:c>
      <x:c r="E17" s="72" t="str">
        <x:v>INS-F-008, INS-SR-001</x:v>
      </x:c>
      <x:c r="F17" s="72" t="str">
        <x:v>IPaymentService.charge; SAD 4.1.5</x:v>
      </x:c>
      <x:c r="G17" s="72" t="str">
        <x:v>Idempotency: no double charge</x:v>
      </x:c>
      <x:c r="H17" s="72" t="str">
        <x:v>Approved application AP-3. Mock gateway can simulate a timeout.</x:v>
      </x:c>
      <x:c r="I17" s="72" t="str">
        <x:v>1. Set gateway TIMEOUT for the first call and SUCCESS afterwards; POST /payments. 2. Count gateway charge calls and Payment rows. 3. Send the same POST /payments twice within 1 second (double click). 4. At database level insert a second Payment with the same idempotencyKey.</x:v>
      </x:c>
      <x:c r="J17" s="72" t="str">
        <x:v>• Step 1: adapter retries (up to 3) with the same key and the payment succeeds once. • Step 2: exactly one charge recorded. • Step 3: both responses show the same result; still one charge. • Step 4: rejected by the UNIQUE constraint.</x:v>
      </x:c>
      <x:c r="K17" s="84" t="str">
        <x:v>Not Run</x:v>
      </x:c>
      <x:c r="L17" s="72"/>
      <x:c r="M17" s="72"/>
      <x:c r="N17" s="111" t="str">
        <x:v>Raghunandan-Kotary</x:v>
      </x:c>
      <x:c r="O17" s="109" t="str">
        <x:v>Samarth</x:v>
      </x:c>
      <x:c r="P17" s="111" t="str">
        <x:v>Sprint 1</x:v>
      </x:c>
      <x:c r="Q17" s="109" t="str">
        <x:v>#42, #36</x:v>
      </x:c>
    </x:row>
    <x:row r="18" ht="116" customHeight="1">
      <x:c r="A18" s="90" t="str">
        <x:v>TC-Pay-04</x:v>
      </x:c>
      <x:c r="B18" s="72" t="str">
        <x:v>Integration</x:v>
      </x:c>
      <x:c r="C18" s="72" t="str">
        <x:v>Functional</x:v>
      </x:c>
      <x:c r="D18" s="72" t="str">
        <x:v>High</x:v>
      </x:c>
      <x:c r="E18" s="72" t="str">
        <x:v>INS-F-009, INS-F-008</x:v>
      </x:c>
      <x:c r="F18" s="72" t="str">
        <x:v>SD-2; SAD 4.1.5</x:v>
      </x:c>
      <x:c r="G18" s="72" t="str">
        <x:v>Policy issuance failure after successful payment</x:v>
      </x:c>
      <x:c r="H18" s="72" t="str">
        <x:v>Approved application AP-4. Fault switch makes PDF generation fail once.</x:v>
      </x:c>
      <x:c r="I18" s="72" t="str">
        <x:v>1. Enable the fault; POST /payments with gateway SUCCESS. 2. Check payment, application and customer message. 3. Wait for the Scheduler's retryPendingIssuance (or run it). 4. Count payments and policies for AP-4.</x:v>
      </x:c>
      <x:c r="J18" s="72" t="str">
        <x:v>• Step 1-2: payment recorded SUCCESS, application stays Paid, customer sees 'Payment received, your policy is being issued'; no policy yet. • Step 3: policy issued (Active) and POLICY_ISSUED sent. • Step 4: one payment and one policy (no second charge, no duplicate policy).</x:v>
      </x:c>
      <x:c r="K18" s="84" t="str">
        <x:v>Not Run</x:v>
      </x:c>
      <x:c r="L18" s="72"/>
      <x:c r="M18" s="72"/>
      <x:c r="N18" s="111" t="str">
        <x:v>Samarth</x:v>
      </x:c>
      <x:c r="O18" s="109" t="str">
        <x:v>Sharana</x:v>
      </x:c>
      <x:c r="P18" s="111" t="str">
        <x:v>Sprint 2</x:v>
      </x:c>
      <x:c r="Q18" s="109" t="str">
        <x:v>#3, #42</x:v>
      </x:c>
    </x:row>
    <x:row r="19" ht="74" customHeight="1">
      <x:c r="A19" s="90" t="str">
        <x:v>TC-Pol-01</x:v>
      </x:c>
      <x:c r="B19" s="72" t="str">
        <x:v>System</x:v>
      </x:c>
      <x:c r="C19" s="72" t="str">
        <x:v>Functional</x:v>
      </x:c>
      <x:c r="D19" s="72" t="str">
        <x:v>High</x:v>
      </x:c>
      <x:c r="E19" s="72" t="str">
        <x:v>INS-F-009</x:v>
      </x:c>
      <x:c r="F19" s="72" t="str">
        <x:v>GET /policies, /policies/{id}/document</x:v>
      </x:c>
      <x:c r="G19" s="72" t="str">
        <x:v>Policy number and document content</x:v>
      </x:c>
      <x:c r="H19" s="72" t="str">
        <x:v>Two policies issued in the same minute.</x:v>
      </x:c>
      <x:c r="I19" s="72" t="str">
        <x:v>1. Compare the policy numbers. 2. Download the policy PDF. 3. Check My Policies.</x:v>
      </x:c>
      <x:c r="J19" s="72" t="str">
        <x:v>• Numbers are unique. • PDF shows customer, plan, premium, coverage and validity dates matching the records. • Both policies listed as Active.</x:v>
      </x:c>
      <x:c r="K19" s="84" t="str">
        <x:v>Not Run</x:v>
      </x:c>
      <x:c r="L19" s="72"/>
      <x:c r="M19" s="72"/>
      <x:c r="N19" s="111" t="str">
        <x:v>Samarth</x:v>
      </x:c>
      <x:c r="O19" s="109" t="str">
        <x:v>Raghunandan-Kotary</x:v>
      </x:c>
      <x:c r="P19" s="111" t="str">
        <x:v>Sprint 1</x:v>
      </x:c>
      <x:c r="Q19" s="109" t="str">
        <x:v>#3</x:v>
      </x:c>
    </x:row>
    <x:row r="20" ht="88" customHeight="1">
      <x:c r="A20" s="90" t="str">
        <x:v>TC-Pol-02</x:v>
      </x:c>
      <x:c r="B20" s="72" t="str">
        <x:v>System</x:v>
      </x:c>
      <x:c r="C20" s="72" t="str">
        <x:v>Functional</x:v>
      </x:c>
      <x:c r="D20" s="72" t="str">
        <x:v>Medium</x:v>
      </x:c>
      <x:c r="E20" s="72" t="str">
        <x:v>INS-F-024, INS-SR-003</x:v>
      </x:c>
      <x:c r="F20" s="72" t="str">
        <x:v>GET /policies/{id}/document</x:v>
      </x:c>
      <x:c r="G20" s="72" t="str">
        <x:v>Download policy documents</x:v>
      </x:c>
      <x:c r="H20" s="72" t="str">
        <x:v>CUST-1 owns POL-1 (renewed once); CUST-3 is another customer.</x:v>
      </x:c>
      <x:c r="I20" s="72" t="str">
        <x:v>1. CUST-1: GET /policies/{id}/document?type=policy. 2. CUST-1: ?type=renewal for the renewed policy. 3. CUST-3: GET the same document of POL-1. 4. CUST-1: ?type=renewal for a policy never renewed.</x:v>
      </x:c>
      <x:c r="J20" s="72" t="str">
        <x:v>• Step 1-2: PDF returned. • Step 3: 403 not the owner. • Step 4: 404 or a clear 'not available' message.</x:v>
      </x:c>
      <x:c r="K20" s="84" t="str">
        <x:v>Not Run</x:v>
      </x:c>
      <x:c r="L20" s="72"/>
      <x:c r="M20" s="72"/>
      <x:c r="N20" s="111" t="str">
        <x:v>Samarth</x:v>
      </x:c>
      <x:c r="O20" s="109" t="str">
        <x:v>Raghunandan-Kotary</x:v>
      </x:c>
      <x:c r="P20" s="111" t="str">
        <x:v>Sprint 2</x:v>
      </x:c>
      <x:c r="Q20" s="109" t="str">
        <x:v>#8, #23</x:v>
      </x:c>
    </x:row>
    <x:row r="21" ht="88" customHeight="1">
      <x:c r="A21" s="90" t="str">
        <x:v>TC-Ren-01</x:v>
      </x:c>
      <x:c r="B21" s="72" t="str">
        <x:v>Integration</x:v>
      </x:c>
      <x:c r="C21" s="72" t="str">
        <x:v>Functional</x:v>
      </x:c>
      <x:c r="D21" s="72" t="str">
        <x:v>Medium</x:v>
      </x:c>
      <x:c r="E21" s="72" t="str">
        <x:v>INS-F-017, INS-F-016</x:v>
      </x:c>
      <x:c r="F21" s="72" t="str">
        <x:v>Scheduler; IRenewalService</x:v>
      </x:c>
      <x:c r="G21" s="72" t="str">
        <x:v>Renewal reminders</x:v>
      </x:c>
      <x:c r="H21" s="72" t="str">
        <x:v>Test clock. Policies expiring in 30, 15, 1 and 2 days.</x:v>
      </x:c>
      <x:c r="I21" s="72" t="str">
        <x:v>1. Run the daily reminder job. 2. Run it again on the same day. 3. Advance the clock one day and run it.</x:v>
      </x:c>
      <x:c r="J21" s="72" t="str">
        <x:v>• Reminders only for the 30-, 15- and 1-day policies (RENEWAL_REMINDER), none for the 2-day policy. • No duplicates. • The former 2-day policy is now 1 day away and receives its reminder.</x:v>
      </x:c>
      <x:c r="K21" s="84" t="str">
        <x:v>Not Run</x:v>
      </x:c>
      <x:c r="L21" s="72"/>
      <x:c r="M21" s="72"/>
      <x:c r="N21" s="111" t="str">
        <x:v>Raghunandan-Kotary</x:v>
      </x:c>
      <x:c r="O21" s="109" t="str">
        <x:v>Thijil Thejaswi M.N.</x:v>
      </x:c>
      <x:c r="P21" s="111" t="str">
        <x:v>Sprint 2</x:v>
      </x:c>
      <x:c r="Q21" s="109" t="str">
        <x:v>#35, #34</x:v>
      </x:c>
    </x:row>
    <x:row r="22" ht="116" customHeight="1">
      <x:c r="A22" s="90" t="str">
        <x:v>TC-Ren-02</x:v>
      </x:c>
      <x:c r="B22" s="72" t="str">
        <x:v>System</x:v>
      </x:c>
      <x:c r="C22" s="72" t="str">
        <x:v>Functional</x:v>
      </x:c>
      <x:c r="D22" s="72" t="str">
        <x:v>High</x:v>
      </x:c>
      <x:c r="E22" s="72" t="str">
        <x:v>INS-F-019, INS-F-009</x:v>
      </x:c>
      <x:c r="F22" s="72" t="str">
        <x:v>POST /policies/{id}/renewal-quote, /renew; SAD 4.1.6</x:v>
      </x:c>
      <x:c r="G22" s="72" t="str">
        <x:v>Renewal quote, payment and renewed policy</x:v>
      </x:c>
      <x:c r="H22" s="72" t="str">
        <x:v>POL-M-1: PLAN-A-M1, regYear 2019, last term IDV 4,00,000 with ZERO_DEP, no claim. Fixture: renewal IDV = previous x 0.90; own-damage premium = base + age loading; NCD 10% of own-damage; clock year 2027, 20 days before expiry.</x:v>
      </x:c>
      <x:c r="I22" s="72" t="str">
        <x:v>1. POST /policies/{id}/renewal-quote. 2. POST /policies/{id}/renew with the quote and a successful payment. 3. Repeat on a policy that had a paid claim in the last term (POL-M-2). 4. Download the renewal certificate.</x:v>
      </x:c>
      <x:c r="J22" s="72" t="str">
        <x:v>• Step 1: base 7,200 + loading 360 = 7,560; NCD -756 = 6,804; ZERO_DEP 1,080; premium Rs 7,884. • Step 2: new Policy with previousPolicyId = POL-M-1, term starting at the old expiry date; POLICY_RENEWED sent. • Step 3: no NCD, premium Rs 8,640. • Step 4: certificate PDF available.</x:v>
      </x:c>
      <x:c r="K22" s="84" t="str">
        <x:v>Not Run</x:v>
      </x:c>
      <x:c r="L22" s="72"/>
      <x:c r="M22" s="72"/>
      <x:c r="N22" s="111" t="str">
        <x:v>Samarth</x:v>
      </x:c>
      <x:c r="O22" s="109" t="str">
        <x:v>Sharana</x:v>
      </x:c>
      <x:c r="P22" s="111" t="str">
        <x:v>Sprint 2</x:v>
      </x:c>
      <x:c r="Q22" s="109" t="str">
        <x:v>#4, #3</x:v>
      </x:c>
    </x:row>
    <x:row r="23" ht="60" customHeight="1">
      <x:c r="A23" s="90" t="str">
        <x:v>TC-Ren-03</x:v>
      </x:c>
      <x:c r="B23" s="72" t="str">
        <x:v>Integration</x:v>
      </x:c>
      <x:c r="C23" s="72" t="str">
        <x:v>Functional</x:v>
      </x:c>
      <x:c r="D23" s="72" t="str">
        <x:v>Medium</x:v>
      </x:c>
      <x:c r="E23" s="72" t="str">
        <x:v>INS-F-019</x:v>
      </x:c>
      <x:c r="F23" s="72" t="str">
        <x:v>POST /policies/{id}/renewal-quote</x:v>
      </x:c>
      <x:c r="G23" s="72" t="str">
        <x:v>Renewal window boundaries</x:v>
      </x:c>
      <x:c r="H23" s="72" t="str">
        <x:v>Policy with expiry date E. Test clock.</x:v>
      </x:c>
      <x:c r="I23" s="72" t="str">
        <x:v>1. Request a renewal quote at E-31 days. 2. At E-30 days. 3. At E+15 days. 4. At E+16 days.</x:v>
      </x:c>
      <x:c r="J23" s="72" t="str">
        <x:v>• 409 (too early). • 200. • 200 (grace period). • 409 (customer must buy a new policy).</x:v>
      </x:c>
      <x:c r="K23" s="84" t="str">
        <x:v>Not Run</x:v>
      </x:c>
      <x:c r="L23" s="72"/>
      <x:c r="M23" s="72"/>
      <x:c r="N23" s="111" t="str">
        <x:v>Samarth</x:v>
      </x:c>
      <x:c r="O23" s="109" t="str">
        <x:v>Sharana</x:v>
      </x:c>
      <x:c r="P23" s="111" t="str">
        <x:v>Sprint 2</x:v>
      </x:c>
      <x:c r="Q23" s="109" t="str">
        <x:v>#4</x:v>
      </x:c>
    </x:row>
    <x:row r="24" ht="88" customHeight="1">
      <x:c r="A24" s="90" t="str">
        <x:v>TC-Can-01</x:v>
      </x:c>
      <x:c r="B24" s="72" t="str">
        <x:v>System</x:v>
      </x:c>
      <x:c r="C24" s="72" t="str">
        <x:v>Functional</x:v>
      </x:c>
      <x:c r="D24" s="72" t="str">
        <x:v>High</x:v>
      </x:c>
      <x:c r="E24" s="72" t="str">
        <x:v>INS-F-020</x:v>
      </x:c>
      <x:c r="F24" s="72" t="str">
        <x:v>POST /policies/{id}/cancellation, /cancellations/{id}/decision; SAD 4.1.6</x:v>
      </x:c>
      <x:c r="G24" s="72" t="str">
        <x:v>Cancellation in the free-look period</x:v>
      </x:c>
      <x:c r="H24" s="72" t="str">
        <x:v>Active policy, premium paid Rs 12,000, 365-day term, no claim. A-ADM logged in for approval.</x:v>
      </x:c>
      <x:c r="I24" s="72" t="str">
        <x:v>1. Cancel on day 10: POST /policies/{id}/cancellation with a reason. 2. A-ADM approves: POST /cancellations/{id}/decision. 3. Check the refund and the policy status.</x:v>
      </x:c>
      <x:c r="J24" s="72" t="str">
        <x:v>• Request status Requested; policy Cancellation Requested; customer and admin notified. • Refund = 12,000 - 600 = Rs 11,400; payment kind REFUND recorded. • Policy Cancelled; CANCELLATION_APPROVED sent.</x:v>
      </x:c>
      <x:c r="K24" s="84" t="str">
        <x:v>Not Run</x:v>
      </x:c>
      <x:c r="L24" s="72"/>
      <x:c r="M24" s="72"/>
      <x:c r="N24" s="111" t="str">
        <x:v>Samarth</x:v>
      </x:c>
      <x:c r="O24" s="109" t="str">
        <x:v>Raghunandan-Kotary</x:v>
      </x:c>
      <x:c r="P24" s="111" t="str">
        <x:v>Sprint 2</x:v>
      </x:c>
      <x:c r="Q24" s="109" t="str">
        <x:v>#7</x:v>
      </x:c>
    </x:row>
    <x:row r="25" ht="116" customHeight="1">
      <x:c r="A25" s="90" t="str">
        <x:v>TC-Can-02</x:v>
      </x:c>
      <x:c r="B25" s="72" t="str">
        <x:v>System</x:v>
      </x:c>
      <x:c r="C25" s="72" t="str">
        <x:v>Functional</x:v>
      </x:c>
      <x:c r="D25" s="72" t="str">
        <x:v>High</x:v>
      </x:c>
      <x:c r="E25" s="72" t="str">
        <x:v>INS-F-020, INS-SR-003</x:v>
      </x:c>
      <x:c r="F25" s="72" t="str">
        <x:v>SAD 4.1.6; SRS 4.6.2</x:v>
      </x:c>
      <x:c r="G25" s="72" t="str">
        <x:v>Pro-rata refund, boundaries, claim paid, rejection</x:v>
      </x:c>
      <x:c r="H25" s="72" t="str">
        <x:v>Active policies with premium paid Rs 12,000, 365-day term, no claim unless stated.</x:v>
      </x:c>
      <x:c r="I25" s="72" t="str">
        <x:v>1. Cancel on day 15 and approve. 2. Cancel on day 16 and approve. 3. Cancel on day 100 and approve. 4. Cancel on day 360 and approve. 5. Cancel a policy on which a claim was already paid. 6. A-ADM rejects a request. 7. B-ADM tries to decide a request of insurer A.</x:v>
      </x:c>
      <x:c r="J25" s="72" t="str">
        <x:v>• Day 15: Rs 11,400. • Day 16: 12,000 x 349/365 = 11,474.52 - 600 = Rs 10,874. • Day 100: Rs 8,112. • Day 360: result negative, so refund Rs 0. • Refund Rs 0. • Policy stays Active; CANCELLATION_REJECTED sent. • 403 (other insurer).</x:v>
      </x:c>
      <x:c r="K25" s="84" t="str">
        <x:v>Not Run</x:v>
      </x:c>
      <x:c r="L25" s="72"/>
      <x:c r="M25" s="72"/>
      <x:c r="N25" s="111" t="str">
        <x:v>Samarth</x:v>
      </x:c>
      <x:c r="O25" s="109" t="str">
        <x:v>Raghunandan-Kotary</x:v>
      </x:c>
      <x:c r="P25" s="111" t="str">
        <x:v>Sprint 2</x:v>
      </x:c>
      <x:c r="Q25" s="109" t="str">
        <x:v>#7, #23</x:v>
      </x:c>
    </x:row>
    <x:row r="26" ht="130" customHeight="1">
      <x:c r="A26" s="90" t="str">
        <x:v>TC-Clm-01</x:v>
      </x:c>
      <x:c r="B26" s="72" t="str">
        <x:v>System</x:v>
      </x:c>
      <x:c r="C26" s="72" t="str">
        <x:v>Functional</x:v>
      </x:c>
      <x:c r="D26" s="72" t="str">
        <x:v>High</x:v>
      </x:c>
      <x:c r="E26" s="72" t="str">
        <x:v>INS-F-012</x:v>
      </x:c>
      <x:c r="F26" s="72" t="str">
        <x:v>POST /claims; SD-3</x:v>
      </x:c>
      <x:c r="G26" s="72" t="str">
        <x:v>File a claim and eligibility rules</x:v>
      </x:c>
      <x:c r="H26" s="72" t="str">
        <x:v>CUST-1 active health policy POL-H-1 (term includes today). Clock fixed.</x:v>
      </x:c>
      <x:c r="I26" s="72" t="str">
        <x:v>1. POST /claims with incident date today minus 5 days, amount, description and one document. 2. Read the claim history. 3. File with incident date today minus 30 days. 4. File with incident date today minus 31 days. 5. File on an expired policy. 6. File with an incident date outside the policy period.</x:v>
      </x:c>
      <x:c r="J26" s="72" t="str">
        <x:v>• Step 1: 201 status Document Verification; CLAIM_RECEIVED sent. • Step 2: history has Submitted then Document Verification. • Step 3: accepted. • Step 4: 422 (30-day rule). • Step 5: 422. • Step 6: 422.</x:v>
      </x:c>
      <x:c r="K26" s="84" t="str">
        <x:v>Not Run</x:v>
      </x:c>
      <x:c r="L26" s="72"/>
      <x:c r="M26" s="72"/>
      <x:c r="N26" s="111" t="str">
        <x:v>Raghunandan-Kotary</x:v>
      </x:c>
      <x:c r="O26" s="109" t="str">
        <x:v>Sharana</x:v>
      </x:c>
      <x:c r="P26" s="111" t="str">
        <x:v>Sprint 2</x:v>
      </x:c>
      <x:c r="Q26" s="109" t="str">
        <x:v>#32</x:v>
      </x:c>
    </x:row>
    <x:row r="27" ht="88" customHeight="1">
      <x:c r="A27" s="90" t="str">
        <x:v>TC-Clm-02</x:v>
      </x:c>
      <x:c r="B27" s="72" t="str">
        <x:v>Integration</x:v>
      </x:c>
      <x:c r="C27" s="72" t="str">
        <x:v>Functional</x:v>
      </x:c>
      <x:c r="D27" s="72" t="str">
        <x:v>High</x:v>
      </x:c>
      <x:c r="E27" s="72" t="str">
        <x:v>INS-F-013</x:v>
      </x:c>
      <x:c r="F27" s="72" t="str">
        <x:v>SAD 4.1.3; SD-3, SD-4</x:v>
      </x:c>
      <x:c r="G27" s="72" t="str">
        <x:v>Claim state machine rejects skipped states</x:v>
      </x:c>
      <x:c r="H27" s="72" t="str">
        <x:v>A claim in Document Verification (insurer A). A-CO logged in.</x:v>
      </x:c>
      <x:c r="I27" s="72" t="str">
        <x:v>1. Try to decide the claim before verification (POST /claims/{id}/decision). 2. Try to settle it. 3. Verify, then decide Approve, then let the payout run. 4. Try to move a Settled claim back to Assessment.</x:v>
      </x:c>
      <x:c r="J27" s="72" t="str">
        <x:v>• 409 STATE-409. • 409 STATE-409. • Path completes: Document Verification, Assessment, Approved, Payment Processing, Settled. • 409 (final states cannot change).</x:v>
      </x:c>
      <x:c r="K27" s="84" t="str">
        <x:v>Not Run</x:v>
      </x:c>
      <x:c r="L27" s="72"/>
      <x:c r="M27" s="72"/>
      <x:c r="N27" s="111" t="str">
        <x:v>Raghunandan-Kotary</x:v>
      </x:c>
      <x:c r="O27" s="109" t="str">
        <x:v>Sharana</x:v>
      </x:c>
      <x:c r="P27" s="111" t="str">
        <x:v>Sprint 2</x:v>
      </x:c>
      <x:c r="Q27" s="109" t="str">
        <x:v>#43</x:v>
      </x:c>
    </x:row>
    <x:row r="28" ht="130" customHeight="1">
      <x:c r="A28" s="90" t="str">
        <x:v>TC-Clm-03</x:v>
      </x:c>
      <x:c r="B28" s="72" t="str">
        <x:v>System</x:v>
      </x:c>
      <x:c r="C28" s="72" t="str">
        <x:v>Functional</x:v>
      </x:c>
      <x:c r="D28" s="72" t="str">
        <x:v>High</x:v>
      </x:c>
      <x:c r="E28" s="72" t="str">
        <x:v>INS-F-014, INS-F-016</x:v>
      </x:c>
      <x:c r="F28" s="72" t="str">
        <x:v>POST /claims/{id}/verify, /decision; SD-3, SD-4</x:v>
      </x:c>
      <x:c r="G28" s="72" t="str">
        <x:v>Verify, assess, decide and settle</x:v>
      </x:c>
      <x:c r="H28" s="72" t="str">
        <x:v>Claim CL-1 (claimed Rs 20,000) in Document Verification; mock gateway SUCCESS.</x:v>
      </x:c>
      <x:c r="I28" s="72" t="str">
        <x:v>1. A-CO: POST /claims/{id}/verify with documents complete. 2. POST /claims/{id}/decision: Approve, assessed amount 18,000. 3. Observe payout and final status. 4. Repeat with Reject and no reason. 5. Repeat with a payout failure (gateway FAILED), then SUCCESS. 6. Verify a claim with documents missing.</x:v>
      </x:c>
      <x:c r="J28" s="72" t="str">
        <x:v>• Status Assessment. • Status Approved then Payment Processing; CLAIM_APPROVED sent. • Settled; CLAIM_SETTLED sent; payout recorded Rs 18,000. • 422 reason required. • Claim stays in Payment Processing; retry succeeds; one payout only. • CLAIM_DOCUMENTS_REQUESTED sent; claim waits.</x:v>
      </x:c>
      <x:c r="K28" s="84" t="str">
        <x:v>Not Run</x:v>
      </x:c>
      <x:c r="L28" s="72"/>
      <x:c r="M28" s="72"/>
      <x:c r="N28" s="111" t="str">
        <x:v>Thijil Thejaswi M.N.</x:v>
      </x:c>
      <x:c r="O28" s="109" t="str">
        <x:v>Sharana</x:v>
      </x:c>
      <x:c r="P28" s="111" t="str">
        <x:v>Sprint 2</x:v>
      </x:c>
      <x:c r="Q28" s="109" t="str">
        <x:v>#11, #34</x:v>
      </x:c>
    </x:row>
    <x:row r="29" ht="60" customHeight="1">
      <x:c r="A29" s="90" t="str">
        <x:v>TC-Clm-04</x:v>
      </x:c>
      <x:c r="B29" s="72" t="str">
        <x:v>System</x:v>
      </x:c>
      <x:c r="C29" s="72" t="str">
        <x:v>Functional</x:v>
      </x:c>
      <x:c r="D29" s="72" t="str">
        <x:v>Medium</x:v>
      </x:c>
      <x:c r="E29" s="72" t="str">
        <x:v>INS-F-015, INS-SR-003</x:v>
      </x:c>
      <x:c r="F29" s="72" t="str">
        <x:v>GET /claims/{id}</x:v>
      </x:c>
      <x:c r="G29" s="72" t="str">
        <x:v>Track claim status</x:v>
      </x:c>
      <x:c r="H29" s="72" t="str">
        <x:v>Claim CL-2 owned by CUST-1 with several state changes; CUST-3 another customer.</x:v>
      </x:c>
      <x:c r="I29" s="72" t="str">
        <x:v>1. CUST-1: GET /claims/{id}. 2. CUST-3: GET the same claim.</x:v>
      </x:c>
      <x:c r="J29" s="72" t="str">
        <x:v>• Timeline lists every state with date and time in order. • 403 (not the owner).</x:v>
      </x:c>
      <x:c r="K29" s="84" t="str">
        <x:v>Not Run</x:v>
      </x:c>
      <x:c r="L29" s="72"/>
      <x:c r="M29" s="72"/>
      <x:c r="N29" s="111" t="str">
        <x:v>Raghunandan-Kotary</x:v>
      </x:c>
      <x:c r="O29" s="109" t="str">
        <x:v>Sharana</x:v>
      </x:c>
      <x:c r="P29" s="111" t="str">
        <x:v>Sprint 2</x:v>
      </x:c>
      <x:c r="Q29" s="109" t="str">
        <x:v>#33, #23</x:v>
      </x:c>
    </x:row>
    <x:row r="30" ht="102" customHeight="1">
      <x:c r="A30" s="90" t="str">
        <x:v>TC-Clm-05</x:v>
      </x:c>
      <x:c r="B30" s="72" t="str">
        <x:v>Integration</x:v>
      </x:c>
      <x:c r="C30" s="72" t="str">
        <x:v>Functional</x:v>
      </x:c>
      <x:c r="D30" s="72" t="str">
        <x:v>Medium</x:v>
      </x:c>
      <x:c r="E30" s="72" t="str">
        <x:v>INS-F-023</x:v>
      </x:c>
      <x:c r="F30" s="72" t="str">
        <x:v>POST /claims/{id}/verify; SD-3</x:v>
      </x:c>
      <x:c r="G30" s="72" t="str">
        <x:v>Duplicate claim detection</x:v>
      </x:c>
      <x:c r="H30" s="72" t="str">
        <x:v>Claim CL-3 exists: policy POL-H-1, incident date D, amount Rs 20,000.</x:v>
      </x:c>
      <x:c r="I30" s="72" t="str">
        <x:v>1. File a second claim with the same policy, date D and amount Rs 20,000; A-CO verifies it. 2. File a claim with the same policy and date but amount Rs 25,000; verify. 3. File a claim with another incident date; verify.</x:v>
      </x:c>
      <x:c r="J30" s="72" t="str">
        <x:v>• Flag 'Possible duplicate' set; claim held in Document Verification for manual review. • No flag. • No flag.</x:v>
      </x:c>
      <x:c r="K30" s="84" t="str">
        <x:v>Not Run</x:v>
      </x:c>
      <x:c r="L30" s="72"/>
      <x:c r="M30" s="72"/>
      <x:c r="N30" s="111" t="str">
        <x:v>Thijil Thejaswi M.N.</x:v>
      </x:c>
      <x:c r="O30" s="109" t="str">
        <x:v>Sharana</x:v>
      </x:c>
      <x:c r="P30" s="111" t="str">
        <x:v>Sprint 2</x:v>
      </x:c>
      <x:c r="Q30" s="109" t="str">
        <x:v>#12</x:v>
      </x:c>
    </x:row>
    <x:row r="31" ht="88" customHeight="1">
      <x:c r="A31" s="90" t="str">
        <x:v>TC-Clm-06</x:v>
      </x:c>
      <x:c r="B31" s="72" t="str">
        <x:v>Integration</x:v>
      </x:c>
      <x:c r="C31" s="72" t="str">
        <x:v>Functional</x:v>
      </x:c>
      <x:c r="D31" s="72" t="str">
        <x:v>Medium</x:v>
      </x:c>
      <x:c r="E31" s="72" t="str">
        <x:v>INS-F-014, INS-F-016</x:v>
      </x:c>
      <x:c r="F31" s="72" t="str">
        <x:v>Scheduler; IClaimService.closeStale</x:v>
      </x:c>
      <x:c r="G31" s="72" t="str">
        <x:v>Closed - No Response after 15 days</x:v>
      </x:c>
      <x:c r="H31" s="72" t="str">
        <x:v>Claim with documents requested on day 0. Test clock.</x:v>
      </x:c>
      <x:c r="I31" s="72" t="str">
        <x:v>1. Customer uploads the documents on day 14. 2. Repeat on another claim: no reply; run the Scheduler on day 15 and day 16. 3. Customer tries to upload on a closed claim.</x:v>
      </x:c>
      <x:c r="J31" s="72" t="str">
        <x:v>• Claim resumes Document Verification. • Claim moves to Closed - No Response (final); CLAIM_CLOSED sent once. • Refused (409).</x:v>
      </x:c>
      <x:c r="K31" s="84" t="str">
        <x:v>Not Run</x:v>
      </x:c>
      <x:c r="L31" s="72"/>
      <x:c r="M31" s="72"/>
      <x:c r="N31" s="111" t="str">
        <x:v>Thijil Thejaswi M.N.</x:v>
      </x:c>
      <x:c r="O31" s="109" t="str">
        <x:v>Sharana</x:v>
      </x:c>
      <x:c r="P31" s="111" t="str">
        <x:v>Sprint 2</x:v>
      </x:c>
      <x:c r="Q31" s="109" t="str">
        <x:v>#11, #34</x:v>
      </x:c>
    </x:row>
    <x:row r="32" ht="116" customHeight="1">
      <x:c r="A32" s="90" t="str">
        <x:v>TC-Ntf-01</x:v>
      </x:c>
      <x:c r="B32" s="72" t="str">
        <x:v>System</x:v>
      </x:c>
      <x:c r="C32" s="72" t="str">
        <x:v>Functional</x:v>
      </x:c>
      <x:c r="D32" s="72" t="str">
        <x:v>High</x:v>
      </x:c>
      <x:c r="E32" s="72" t="str">
        <x:v>INS-F-016</x:v>
      </x:c>
      <x:c r="F32" s="72" t="str">
        <x:v>INotify.send; SAD 4.1.7</x:v>
      </x:c>
      <x:c r="G32" s="72" t="str">
        <x:v>Every status change sends a notification</x:v>
      </x:c>
      <x:c r="H32" s="72" t="str">
        <x:v>Simulated email/SMS service with a message log.</x:v>
      </x:c>
      <x:c r="I32" s="72" t="str">
        <x:v>1. Run the flows in TC-App-01, TC-UW-04, TC-Pay-01, TC-Ren-02, TC-Can-01, TC-Clm-03 and TC-Clm-06. 2. For each of the 16 events in SAD 4.1.7 check the notification record and the logged message. 3. Make the messaging service fail; trigger POLICY_ISSUED.</x:v>
      </x:c>
      <x:c r="J32" s="72" t="str">
        <x:v>• Each event creates exactly one notification record and one outgoing message to the right recipient. • All 16 events were observed. • 3 retries, then status Failed is logged; the purchase flow itself still completes.</x:v>
      </x:c>
      <x:c r="K32" s="84" t="str">
        <x:v>Not Run</x:v>
      </x:c>
      <x:c r="L32" s="72"/>
      <x:c r="M32" s="72"/>
      <x:c r="N32" s="111" t="str">
        <x:v>Raghunandan-Kotary</x:v>
      </x:c>
      <x:c r="O32" s="109" t="str">
        <x:v>Thijil Thejaswi M.N.</x:v>
      </x:c>
      <x:c r="P32" s="111" t="str">
        <x:v>Sprint 2</x:v>
      </x:c>
      <x:c r="Q32" s="109" t="str">
        <x:v>#34</x:v>
      </x:c>
    </x:row>
    <x:row r="33" ht="116" customHeight="1">
      <x:c r="A33" s="90" t="str">
        <x:v>TC-Aud-01</x:v>
      </x:c>
      <x:c r="B33" s="72" t="str">
        <x:v>System</x:v>
      </x:c>
      <x:c r="C33" s="72" t="str">
        <x:v>Functional</x:v>
      </x:c>
      <x:c r="D33" s="72" t="str">
        <x:v>Medium</x:v>
      </x:c>
      <x:c r="E33" s="72" t="str">
        <x:v>INS-F-018, INS-SR-008</x:v>
      </x:c>
      <x:c r="F33" s="72" t="str">
        <x:v>GET /audit; SAD 3.9</x:v>
      </x:c>
      <x:c r="G33" s="72" t="str">
        <x:v>Audit log content and access</x:v>
      </x:c>
      <x:c r="H33" s="72" t="str">
        <x:v>SYS-ADM logged in.</x:v>
      </x:c>
      <x:c r="I33" s="72" t="str">
        <x:v>1. Perform: login, plan change, underwriting decision, payment, cancellation approval, claim decision. 2. SYS-ADM: GET /audit filtered by user and action. 3. As the application's database user try UPDATE and DELETE on an audit row. 4. With the audit_reader role try UPDATE, DELETE and INSERT.</x:v>
      </x:c>
      <x:c r="J33" s="72" t="str">
        <x:v>• Each action has an entry with user, action, entity, entity ID and time. • Entries are found by the filters. • Denied. • All three denied; audit_writer can only INSERT.</x:v>
      </x:c>
      <x:c r="K33" s="84" t="str">
        <x:v>Not Run</x:v>
      </x:c>
      <x:c r="L33" s="72"/>
      <x:c r="M33" s="72"/>
      <x:c r="N33" s="111" t="str">
        <x:v>Sharana</x:v>
      </x:c>
      <x:c r="O33" s="109" t="str">
        <x:v>Thijil Thejaswi M.N.</x:v>
      </x:c>
      <x:c r="P33" s="111" t="str">
        <x:v>Sprint 2</x:v>
      </x:c>
      <x:c r="Q33" s="109" t="str">
        <x:v>#19, #28</x:v>
      </x:c>
    </x:row>
    <x:row r="34" ht="74" customHeight="1">
      <x:c r="A34" s="90" t="str">
        <x:v>TC-Aud-02</x:v>
      </x:c>
      <x:c r="B34" s="72" t="str">
        <x:v>Integration</x:v>
      </x:c>
      <x:c r="C34" s="72" t="str">
        <x:v>Reliability</x:v>
      </x:c>
      <x:c r="D34" s="72" t="str">
        <x:v>Medium</x:v>
      </x:c>
      <x:c r="E34" s="72" t="str">
        <x:v>INS-NF-007</x:v>
      </x:c>
      <x:c r="F34" s="72" t="str">
        <x:v>Retention job</x:v>
      </x:c>
      <x:c r="G34" s="72" t="str">
        <x:v>Record retention</x:v>
      </x:c>
      <x:c r="H34" s="72" t="str">
        <x:v>Test data with audit, policy and claim records back-dated by 5 years and by 4 years 11 months.</x:v>
      </x:c>
      <x:c r="I34" s="72" t="str">
        <x:v>1. Query the 5-year-old records through the API and reports. 2. Run the retention/housekeeping job. 3. Count the records again.</x:v>
      </x:c>
      <x:c r="J34" s="72" t="str">
        <x:v>• Records are retrievable. • Job completes without errors. • No record younger than 5 years was deleted.</x:v>
      </x:c>
      <x:c r="K34" s="84" t="str">
        <x:v>Not Run</x:v>
      </x:c>
      <x:c r="L34" s="72"/>
      <x:c r="M34" s="72"/>
      <x:c r="N34" s="111" t="str">
        <x:v>Thijil Thejaswi M.N.</x:v>
      </x:c>
      <x:c r="O34" s="109" t="str">
        <x:v>Samarth</x:v>
      </x:c>
      <x:c r="P34" s="111" t="str">
        <x:v>Sprint 2</x:v>
      </x:c>
      <x:c r="Q34" s="109" t="str">
        <x:v>#14</x:v>
      </x:c>
    </x:row>
    <x:row r="35" ht="116" customHeight="1">
      <x:c r="A35" s="90" t="str">
        <x:v>TC-Dash-01</x:v>
      </x:c>
      <x:c r="B35" s="72" t="str">
        <x:v>System</x:v>
      </x:c>
      <x:c r="C35" s="72" t="str">
        <x:v>Functional</x:v>
      </x:c>
      <x:c r="D35" s="72" t="str">
        <x:v>Medium</x:v>
      </x:c>
      <x:c r="E35" s="72" t="str">
        <x:v>INS-F-021, INS-SR-003</x:v>
      </x:c>
      <x:c r="F35" s="72" t="str">
        <x:v>GET /dashboard</x:v>
      </x:c>
      <x:c r="G35" s="72" t="str">
        <x:v>Role-specific dashboards</x:v>
      </x:c>
      <x:c r="H35" s="72" t="str">
        <x:v>Data for insurers A and B in all states.</x:v>
      </x:c>
      <x:c r="I35" s="72" t="str">
        <x:v>1. CUST-1: open the dashboard. 2. A-ADM: open the dashboard. 3. A-CO: open the dashboard. 4. A-UW: open the dashboard.</x:v>
      </x:c>
      <x:c r="J35" s="72" t="str">
        <x:v>• Active policies, claims and renewal alerts (policies expiring within 30 days) of CUST-1 only. • Policies sold and claim statistics of insurer A only. • Only claims of insurer A that are not Settled, Rejected or Closed. • Only pending (referred) applications of insurer A.</x:v>
      </x:c>
      <x:c r="K35" s="84" t="str">
        <x:v>Not Run</x:v>
      </x:c>
      <x:c r="L35" s="72"/>
      <x:c r="M35" s="72"/>
      <x:c r="N35" s="111" t="str">
        <x:v>Sharana</x:v>
      </x:c>
      <x:c r="O35" s="109" t="str">
        <x:v>Thijil Thejaswi M.N.</x:v>
      </x:c>
      <x:c r="P35" s="111" t="str">
        <x:v>Sprint 2</x:v>
      </x:c>
      <x:c r="Q35" s="109" t="str">
        <x:v>#20, #23</x:v>
      </x:c>
    </x:row>
    <x:row r="36" ht="88" customHeight="1">
      <x:c r="A36" s="90" t="str">
        <x:v>TC-Rpt-01</x:v>
      </x:c>
      <x:c r="B36" s="72" t="str">
        <x:v>System</x:v>
      </x:c>
      <x:c r="C36" s="72" t="str">
        <x:v>Functional</x:v>
      </x:c>
      <x:c r="D36" s="72" t="str">
        <x:v>Medium</x:v>
      </x:c>
      <x:c r="E36" s="72" t="str">
        <x:v>INS-F-025</x:v>
      </x:c>
      <x:c r="F36" s="72" t="str">
        <x:v>GET /reports/{type}</x:v>
      </x:c>
      <x:c r="G36" s="72" t="str">
        <x:v>Admin reports reconcile</x:v>
      </x:c>
      <x:c r="H36" s="72" t="str">
        <x:v>Known data set for 01-10-2026 to 31-10-2026 (counts verified with SQL).</x:v>
      </x:c>
      <x:c r="I36" s="72" t="str">
        <x:v>1. SYS-ADM: GET /reports/sales, /claims, /premium, /renewals, /claim-decisions for the period. 2. Compare totals with SQL counts and sums. 3. Request a period with no data. 4. Request from after to.</x:v>
      </x:c>
      <x:c r="J36" s="72" t="str">
        <x:v>• Reports are returned. • Totals equal the underlying records (policies sold, claims settled, premium collected, renewals, approvals vs rejections). • Empty report with zero totals. • 400 invalid period.</x:v>
      </x:c>
      <x:c r="K36" s="84" t="str">
        <x:v>Not Run</x:v>
      </x:c>
      <x:c r="L36" s="72"/>
      <x:c r="M36" s="72"/>
      <x:c r="N36" s="111" t="str">
        <x:v>Samarth</x:v>
      </x:c>
      <x:c r="O36" s="109" t="str">
        <x:v>Thijil Thejaswi M.N.</x:v>
      </x:c>
      <x:c r="P36" s="111" t="str">
        <x:v>Sprint 2</x:v>
      </x:c>
      <x:c r="Q36" s="109" t="str">
        <x:v>#9</x:v>
      </x:c>
    </x:row>
    <x:row r="37" ht="60" customHeight="1">
      <x:c r="A37" s="90" t="str">
        <x:v>TC-Perf-01</x:v>
      </x:c>
      <x:c r="B37" s="72" t="str">
        <x:v>System</x:v>
      </x:c>
      <x:c r="C37" s="72" t="str">
        <x:v>Performance</x:v>
      </x:c>
      <x:c r="D37" s="72" t="str">
        <x:v>High</x:v>
      </x:c>
      <x:c r="E37" s="72" t="str">
        <x:v>INS-NF-001</x:v>
      </x:c>
      <x:c r="F37" s="72" t="str">
        <x:v>POST /quotes/motor, /quotes/health</x:v>
      </x:c>
      <x:c r="G37" s="72" t="str">
        <x:v>Quote response time</x:v>
      </x:c>
      <x:c r="H37" s="72" t="str">
        <x:v>JMeter; 50 virtual users; production-like data; quote endpoints.</x:v>
      </x:c>
      <x:c r="I37" s="72" t="str">
        <x:v>1. Ramp up 1 minute, hold 10 minutes sending motor and health quotes. 2. Read the 95th percentile response time.</x:v>
      </x:c>
      <x:c r="J37" s="72" t="str">
        <x:v>• 95th percentile is 5 seconds or less; error rate below 1%.</x:v>
      </x:c>
      <x:c r="K37" s="84" t="str">
        <x:v>Not Run</x:v>
      </x:c>
      <x:c r="L37" s="72"/>
      <x:c r="M37" s="72"/>
      <x:c r="N37" s="111" t="str">
        <x:v>Samarth</x:v>
      </x:c>
      <x:c r="O37" s="109" t="str">
        <x:v>Samarth (witness: Thijil Thejaswi M.N.)</x:v>
      </x:c>
      <x:c r="P37" s="111" t="str">
        <x:v>Sprint 2</x:v>
      </x:c>
      <x:c r="Q37" s="109" t="str">
        <x:v>#13</x:v>
      </x:c>
    </x:row>
    <x:row r="38" ht="74" customHeight="1">
      <x:c r="A38" s="90" t="str">
        <x:v>TC-Load-01</x:v>
      </x:c>
      <x:c r="B38" s="72" t="str">
        <x:v>System</x:v>
      </x:c>
      <x:c r="C38" s="72" t="str">
        <x:v>Performance</x:v>
      </x:c>
      <x:c r="D38" s="72" t="str">
        <x:v>High</x:v>
      </x:c>
      <x:c r="E38" s="72" t="str">
        <x:v>INS-NF-002, INS-NF-001</x:v>
      </x:c>
      <x:c r="F38" s="72" t="str">
        <x:v>All main endpoints</x:v>
      </x:c>
      <x:c r="G38" s="72" t="str">
        <x:v>500 concurrent users</x:v>
      </x:c>
      <x:c r="H38" s="72" t="str">
        <x:v>JMeter; 500 virtual users; mix 40% browse plans, 30% quotes, 10% applications, 10% claim status, 10% dashboards.</x:v>
      </x:c>
      <x:c r="I38" s="72" t="str">
        <x:v>1. Ramp up 5 minutes, hold 15 minutes. 2. Monitor CPU, memory, DB connections and errors.</x:v>
      </x:c>
      <x:c r="J38" s="72" t="str">
        <x:v>• Error rate below 1%; 95th percentile of quotes 5 seconds or less; no crash or connection exhaustion.</x:v>
      </x:c>
      <x:c r="K38" s="84" t="str">
        <x:v>Not Run</x:v>
      </x:c>
      <x:c r="L38" s="72"/>
      <x:c r="M38" s="72"/>
      <x:c r="N38" s="111" t="str">
        <x:v>Samarth</x:v>
      </x:c>
      <x:c r="O38" s="109" t="str">
        <x:v>Samarth (witness: Raghunandan-Kotary)</x:v>
      </x:c>
      <x:c r="P38" s="111" t="str">
        <x:v>Sprint 2</x:v>
      </x:c>
      <x:c r="Q38" s="109" t="str">
        <x:v>#38, #13</x:v>
      </x:c>
    </x:row>
    <x:row r="39" ht="60" customHeight="1">
      <x:c r="A39" s="90" t="str">
        <x:v>TC-Avail-01</x:v>
      </x:c>
      <x:c r="B39" s="72" t="str">
        <x:v>System</x:v>
      </x:c>
      <x:c r="C39" s="72" t="str">
        <x:v>Reliability</x:v>
      </x:c>
      <x:c r="D39" s="72" t="str">
        <x:v>Medium</x:v>
      </x:c>
      <x:c r="E39" s="72" t="str">
        <x:v>INS-NF-003</x:v>
      </x:c>
      <x:c r="F39" s="72" t="str">
        <x:v>Actuator health</x:v>
      </x:c>
      <x:c r="G39" s="72" t="str">
        <x:v>Availability</x:v>
      </x:c>
      <x:c r="H39" s="72" t="str">
        <x:v>Synthetic probe every minute on the health endpoint and one business call.</x:v>
      </x:c>
      <x:c r="I39" s="72" t="str">
        <x:v>1. Run a 7-day soak excluding announced maintenance. 2. Add up the minutes of failed probes.</x:v>
      </x:c>
      <x:c r="J39" s="72" t="str">
        <x:v>• Downtime is at most 1.68 hours in 7 days (99%). The 99% per month target is confirmed by the first monthly uptime report.</x:v>
      </x:c>
      <x:c r="K39" s="84" t="str">
        <x:v>Not Run</x:v>
      </x:c>
      <x:c r="L39" s="72"/>
      <x:c r="M39" s="72"/>
      <x:c r="N39" s="111" t="str">
        <x:v>Samarth</x:v>
      </x:c>
      <x:c r="O39" s="109" t="str">
        <x:v>Samarth (witness: Thijil Thejaswi M.N.)</x:v>
      </x:c>
      <x:c r="P39" s="111" t="str">
        <x:v>Sprint 2</x:v>
      </x:c>
      <x:c r="Q39" s="109" t="str">
        <x:v>#39</x:v>
      </x:c>
    </x:row>
    <x:row r="40" ht="88" customHeight="1">
      <x:c r="A40" s="90" t="str">
        <x:v>TC-Rel-01</x:v>
      </x:c>
      <x:c r="B40" s="72" t="str">
        <x:v>System</x:v>
      </x:c>
      <x:c r="C40" s="72" t="str">
        <x:v>Reliability</x:v>
      </x:c>
      <x:c r="D40" s="72" t="str">
        <x:v>High</x:v>
      </x:c>
      <x:c r="E40" s="72" t="str">
        <x:v>INS-NF-004</x:v>
      </x:c>
      <x:c r="F40" s="72" t="str">
        <x:v>Backup job</x:v>
      </x:c>
      <x:c r="G40" s="72" t="str">
        <x:v>Backup and restore drill</x:v>
      </x:c>
      <x:c r="H40" s="72" t="str">
        <x:v>Daily full backup completed at time T; later changes made after T.</x:v>
      </x:c>
      <x:c r="I40" s="72" t="str">
        <x:v>1. Restore the latest backup into a clean environment and time it. 2. Compare record counts of key tables and the document store with the backup. 3. Check the age of the data.</x:v>
      </x:c>
      <x:c r="J40" s="72" t="str">
        <x:v>• Restore completes within 4 hours. • Counts match the backup. • Data loss is at most 24 hours.</x:v>
      </x:c>
      <x:c r="K40" s="84" t="str">
        <x:v>Not Run</x:v>
      </x:c>
      <x:c r="L40" s="72"/>
      <x:c r="M40" s="72"/>
      <x:c r="N40" s="111" t="str">
        <x:v>Raghunandan-Kotary</x:v>
      </x:c>
      <x:c r="O40" s="109" t="str">
        <x:v>Samarth</x:v>
      </x:c>
      <x:c r="P40" s="111" t="str">
        <x:v>Sprint 2</x:v>
      </x:c>
      <x:c r="Q40" s="109" t="str">
        <x:v>#40</x:v>
      </x:c>
    </x:row>
    <x:row r="41" ht="88" customHeight="1">
      <x:c r="A41" s="90" t="str">
        <x:v>TC-UX-01</x:v>
      </x:c>
      <x:c r="B41" s="72" t="str">
        <x:v>System</x:v>
      </x:c>
      <x:c r="C41" s="72" t="str">
        <x:v>Usability</x:v>
      </x:c>
      <x:c r="D41" s="72" t="str">
        <x:v>Medium</x:v>
      </x:c>
      <x:c r="E41" s="72" t="str">
        <x:v>INS-NF-005</x:v>
      </x:c>
      <x:c r="F41" s="72" t="str">
        <x:v>Web UI</x:v>
      </x:c>
      <x:c r="G41" s="72" t="str">
        <x:v>Responsive UI</x:v>
      </x:c>
      <x:c r="H41" s="72" t="str">
        <x:v>Chrome device emulation.</x:v>
      </x:c>
      <x:c r="I41" s="72" t="str">
        <x:v>1. Open the home, plans, quote, application, payment, My Policies, claim form, claim tracker and staff queue screens at 360, 768 and 1366 px width. 2. Check labels, error messages and keyboard navigation.</x:v>
      </x:c>
      <x:c r="J41" s="72" t="str">
        <x:v>• No horizontal scrolling and no clipped content at any width; labels present; error messages explain how to fix the problem.</x:v>
      </x:c>
      <x:c r="K41" s="84" t="str">
        <x:v>Not Run</x:v>
      </x:c>
      <x:c r="L41" s="72"/>
      <x:c r="M41" s="72"/>
      <x:c r="N41" s="111" t="str">
        <x:v>Sharana</x:v>
      </x:c>
      <x:c r="O41" s="109" t="str">
        <x:v>Thijil Thejaswi M.N.</x:v>
      </x:c>
      <x:c r="P41" s="111" t="str">
        <x:v>Sprint 2</x:v>
      </x:c>
      <x:c r="Q41" s="109" t="str">
        <x:v>#29</x:v>
      </x:c>
    </x:row>
    <x:row r="42" ht="60" customHeight="1">
      <x:c r="A42" s="90" t="str">
        <x:v>TC-Compat-01</x:v>
      </x:c>
      <x:c r="B42" s="72" t="str">
        <x:v>System</x:v>
      </x:c>
      <x:c r="C42" s="72" t="str">
        <x:v>Compatibility</x:v>
      </x:c>
      <x:c r="D42" s="72" t="str">
        <x:v>Medium</x:v>
      </x:c>
      <x:c r="E42" s="72" t="str">
        <x:v>INS-NF-006</x:v>
      </x:c>
      <x:c r="F42" s="72" t="str">
        <x:v>Web UI</x:v>
      </x:c>
      <x:c r="G42" s="72" t="str">
        <x:v>Browser compatibility</x:v>
      </x:c>
      <x:c r="H42" s="72" t="str">
        <x:v>Latest two versions of Chrome, Firefox, Edge and Safari.</x:v>
      </x:c>
      <x:c r="I42" s="72" t="str">
        <x:v>1. On each browser run the smoke flow: login, browse, quote, apply, pay, view policy, file claim.</x:v>
      </x:c>
      <x:c r="J42" s="72" t="str">
        <x:v>• The flow passes on all 8 browser versions.</x:v>
      </x:c>
      <x:c r="K42" s="84" t="str">
        <x:v>Not Run</x:v>
      </x:c>
      <x:c r="L42" s="72"/>
      <x:c r="M42" s="72"/>
      <x:c r="N42" s="111" t="str">
        <x:v>Sharana</x:v>
      </x:c>
      <x:c r="O42" s="109" t="str">
        <x:v>Samarth; all members run the browser matrix</x:v>
      </x:c>
      <x:c r="P42" s="111" t="str">
        <x:v>Sprint 2</x:v>
      </x:c>
      <x:c r="Q42" s="109" t="str">
        <x:v>#30</x:v>
      </x:c>
    </x:row>
    <x:row r="43" ht="74" customHeight="1">
      <x:c r="A43" s="90" t="str">
        <x:v>TC-Sec-01</x:v>
      </x:c>
      <x:c r="B43" s="72" t="str">
        <x:v>System</x:v>
      </x:c>
      <x:c r="C43" s="72" t="str">
        <x:v>Security</x:v>
      </x:c>
      <x:c r="D43" s="72" t="str">
        <x:v>High</x:v>
      </x:c>
      <x:c r="E43" s="72" t="str">
        <x:v>INS-SR-001</x:v>
      </x:c>
      <x:c r="F43" s="72" t="str">
        <x:v>Nginx, REST API</x:v>
      </x:c>
      <x:c r="G43" s="72" t="str">
        <x:v>HTTPS and TLS 1.2+</x:v>
      </x:c>
      <x:c r="H43" s="72" t="str">
        <x:v>Deployed test environment behind the reverse proxy.</x:v>
      </x:c>
      <x:c r="I43" s="72" t="str">
        <x:v>1. Request http:// on every host name. 2. Run a TLS scan (for example testssl.sh). 3. Try to connect with TLS 1.0 and 1.1. 4. Check response headers.</x:v>
      </x:c>
      <x:c r="J43" s="72" t="str">
        <x:v>• HTTP is redirected to HTTPS or refused. • Only TLS 1.2 or 1.3 offered. • Connections refused. • HSTS present.</x:v>
      </x:c>
      <x:c r="K43" s="84" t="str">
        <x:v>Not Run</x:v>
      </x:c>
      <x:c r="L43" s="72"/>
      <x:c r="M43" s="72"/>
      <x:c r="N43" s="111" t="str">
        <x:v>Raghunandan-Kotary</x:v>
      </x:c>
      <x:c r="O43" s="109" t="str">
        <x:v>Samarth</x:v>
      </x:c>
      <x:c r="P43" s="111" t="str">
        <x:v>Sprint 2</x:v>
      </x:c>
      <x:c r="Q43" s="109" t="str">
        <x:v>#36</x:v>
      </x:c>
    </x:row>
    <x:row r="44" ht="60" customHeight="1">
      <x:c r="A44" s="90" t="str">
        <x:v>TC-Sec-02</x:v>
      </x:c>
      <x:c r="B44" s="72" t="str">
        <x:v>Integration</x:v>
      </x:c>
      <x:c r="C44" s="72" t="str">
        <x:v>Security</x:v>
      </x:c>
      <x:c r="D44" s="72" t="str">
        <x:v>High</x:v>
      </x:c>
      <x:c r="E44" s="72" t="str">
        <x:v>INS-SR-002</x:v>
      </x:c>
      <x:c r="F44" s="72" t="str">
        <x:v>User &amp; KYC</x:v>
      </x:c>
      <x:c r="G44" s="72" t="str">
        <x:v>Password storage</x:v>
      </x:c>
      <x:c r="H44" s="72" t="str">
        <x:v>Several registered users.</x:v>
      </x:c>
      <x:c r="I44" s="72" t="str">
        <x:v>1. Inspect the user table. 2. Search application logs, email log and error responses for the test passwords.</x:v>
      </x:c>
      <x:c r="J44" s="72" t="str">
        <x:v>• Only salted bcrypt (or Argon2) hashes are stored. • No password appears anywhere.</x:v>
      </x:c>
      <x:c r="K44" s="84" t="str">
        <x:v>Not Run</x:v>
      </x:c>
      <x:c r="L44" s="72"/>
      <x:c r="M44" s="72"/>
      <x:c r="N44" s="111" t="str">
        <x:v>Sharana</x:v>
      </x:c>
      <x:c r="O44" s="109" t="str">
        <x:v>Samarth</x:v>
      </x:c>
      <x:c r="P44" s="111" t="str">
        <x:v>Sprint 1</x:v>
      </x:c>
      <x:c r="Q44" s="109" t="str">
        <x:v>#22</x:v>
      </x:c>
    </x:row>
    <x:row r="45" ht="74" customHeight="1">
      <x:c r="A45" s="90" t="str">
        <x:v>TC-Sec-03</x:v>
      </x:c>
      <x:c r="B45" s="72" t="str">
        <x:v>System</x:v>
      </x:c>
      <x:c r="C45" s="72" t="str">
        <x:v>Security</x:v>
      </x:c>
      <x:c r="D45" s="72" t="str">
        <x:v>High</x:v>
      </x:c>
      <x:c r="E45" s="72" t="str">
        <x:v>INS-SR-003</x:v>
      </x:c>
      <x:c r="F45" s="72" t="str">
        <x:v>SAD 4.3</x:v>
      </x:c>
      <x:c r="G45" s="72" t="str">
        <x:v>RBAC matrix, deny by default</x:v>
      </x:c>
      <x:c r="H45" s="72" t="str">
        <x:v>One token for each role plus no token.</x:v>
      </x:c>
      <x:c r="I45" s="72" t="str">
        <x:v>1. Call every endpoint of SAD 4.3 with each role. 2. Compare with the Role column of the API tables. 3. Send a request without a token and with a tampered token.</x:v>
      </x:c>
      <x:c r="J45" s="72" t="str">
        <x:v>• Only the listed roles succeed; all others get 403. • No unlisted endpoint is reachable. • 401.</x:v>
      </x:c>
      <x:c r="K45" s="84" t="str">
        <x:v>Not Run</x:v>
      </x:c>
      <x:c r="L45" s="72"/>
      <x:c r="M45" s="72"/>
      <x:c r="N45" s="111" t="str">
        <x:v>Sharana</x:v>
      </x:c>
      <x:c r="O45" s="109" t="str">
        <x:v>Samarth</x:v>
      </x:c>
      <x:c r="P45" s="111" t="str">
        <x:v>Sprint 2</x:v>
      </x:c>
      <x:c r="Q45" s="109" t="str">
        <x:v>#23</x:v>
      </x:c>
    </x:row>
    <x:row r="46" ht="74" customHeight="1">
      <x:c r="A46" s="90" t="str">
        <x:v>TC-Sec-04</x:v>
      </x:c>
      <x:c r="B46" s="72" t="str">
        <x:v>Integration</x:v>
      </x:c>
      <x:c r="C46" s="72" t="str">
        <x:v>Security</x:v>
      </x:c>
      <x:c r="D46" s="72" t="str">
        <x:v>High</x:v>
      </x:c>
      <x:c r="E46" s="72" t="str">
        <x:v>INS-SR-004</x:v>
      </x:c>
      <x:c r="F46" s="72" t="str">
        <x:v>Encrypted document store</x:v>
      </x:c>
      <x:c r="G46" s="72" t="str">
        <x:v>Encryption at rest</x:v>
      </x:c>
      <x:c r="H46" s="72" t="str">
        <x:v>Uploaded KYC document, claim document and a generated policy PDF.</x:v>
      </x:c>
      <x:c r="I46" s="72" t="str">
        <x:v>1. Read the stored files directly from storage. 2. Inspect the sensitive columns in the database. 3. Search the database for the encryption key.</x:v>
      </x:c>
      <x:c r="J46" s="72" t="str">
        <x:v>• Files are unreadable without the key. • Sensitive columns are encrypted. • Key is not in the database.</x:v>
      </x:c>
      <x:c r="K46" s="84" t="str">
        <x:v>Not Run</x:v>
      </x:c>
      <x:c r="L46" s="72"/>
      <x:c r="M46" s="72"/>
      <x:c r="N46" s="111" t="str">
        <x:v>Raghunandan-Kotary</x:v>
      </x:c>
      <x:c r="O46" s="109" t="str">
        <x:v>Samarth</x:v>
      </x:c>
      <x:c r="P46" s="111" t="str">
        <x:v>Sprint 2</x:v>
      </x:c>
      <x:c r="Q46" s="109" t="str">
        <x:v>#37</x:v>
      </x:c>
    </x:row>
    <x:row r="47" ht="60" customHeight="1">
      <x:c r="A47" s="90" t="str">
        <x:v>TC-Sec-05</x:v>
      </x:c>
      <x:c r="B47" s="72" t="str">
        <x:v>System</x:v>
      </x:c>
      <x:c r="C47" s="72" t="str">
        <x:v>Security</x:v>
      </x:c>
      <x:c r="D47" s="72" t="str">
        <x:v>High</x:v>
      </x:c>
      <x:c r="E47" s="72" t="str">
        <x:v>INS-SR-005</x:v>
      </x:c>
      <x:c r="F47" s="72" t="str">
        <x:v>POST /auth/login</x:v>
      </x:c>
      <x:c r="G47" s="72" t="str">
        <x:v>Account lockout</x:v>
      </x:c>
      <x:c r="H47" s="72" t="str">
        <x:v>User CUST-1; test clock.</x:v>
      </x:c>
      <x:c r="I47" s="72" t="str">
        <x:v>1. Enter a wrong password 5 times. 2. Log in with the correct password. 3. Advance the clock by 15 minutes and log in again.</x:v>
      </x:c>
      <x:c r="J47" s="72" t="str">
        <x:v>• Failures return 401. • 423 account locked even with the correct password. • Login succeeds after 15 minutes.</x:v>
      </x:c>
      <x:c r="K47" s="84" t="str">
        <x:v>Not Run</x:v>
      </x:c>
      <x:c r="L47" s="72"/>
      <x:c r="M47" s="72"/>
      <x:c r="N47" s="111" t="str">
        <x:v>Sharana</x:v>
      </x:c>
      <x:c r="O47" s="109" t="str">
        <x:v>Samarth</x:v>
      </x:c>
      <x:c r="P47" s="111" t="str">
        <x:v>Sprint 2</x:v>
      </x:c>
      <x:c r="Q47" s="109" t="str">
        <x:v>#24</x:v>
      </x:c>
    </x:row>
    <x:row r="48" ht="102" customHeight="1">
      <x:c r="A48" s="90" t="str">
        <x:v>TC-Sec-06</x:v>
      </x:c>
      <x:c r="B48" s="72" t="str">
        <x:v>System</x:v>
      </x:c>
      <x:c r="C48" s="72" t="str">
        <x:v>Security</x:v>
      </x:c>
      <x:c r="D48" s="72" t="str">
        <x:v>High</x:v>
      </x:c>
      <x:c r="E48" s="72" t="str">
        <x:v>INS-SR-006</x:v>
      </x:c>
      <x:c r="F48" s="72" t="str">
        <x:v>All input fields</x:v>
      </x:c>
      <x:c r="G48" s="72" t="str">
        <x:v>Injection and XSS defence</x:v>
      </x:c>
      <x:c r="H48" s="72" t="str">
        <x:v>OWASP ZAP baseline and manual test strings.</x:v>
      </x:c>
      <x:c r="I48" s="72" t="str">
        <x:v>1. Send ' OR '1'='1 and ; DROP TABLE users; -- in login, plan filter and claim description fields. 2. Send &lt;script&gt;alert(1)&lt;/script&gt; in name, claim description and plan name; open the pages that display them. 3. Review the code for string-built SQL.</x:v>
      </x:c>
      <x:c r="J48" s="72" t="str">
        <x:v>• No SQL error, no extra data returned. • The text is shown as text and no script runs. • No string-built SQL found.</x:v>
      </x:c>
      <x:c r="K48" s="84" t="str">
        <x:v>Not Run</x:v>
      </x:c>
      <x:c r="L48" s="72"/>
      <x:c r="M48" s="72"/>
      <x:c r="N48" s="111" t="str">
        <x:v>Sharana</x:v>
      </x:c>
      <x:c r="O48" s="109" t="str">
        <x:v>Samarth</x:v>
      </x:c>
      <x:c r="P48" s="111" t="str">
        <x:v>Sprint 2</x:v>
      </x:c>
      <x:c r="Q48" s="109" t="str">
        <x:v>#25</x:v>
      </x:c>
    </x:row>
    <x:row r="49" ht="60" customHeight="1">
      <x:c r="A49" s="90" t="str">
        <x:v>TC-Sec-07</x:v>
      </x:c>
      <x:c r="B49" s="72" t="str">
        <x:v>System</x:v>
      </x:c>
      <x:c r="C49" s="72" t="str">
        <x:v>Security</x:v>
      </x:c>
      <x:c r="D49" s="72" t="str">
        <x:v>Medium</x:v>
      </x:c>
      <x:c r="E49" s="72" t="str">
        <x:v>INS-SR-007</x:v>
      </x:c>
      <x:c r="F49" s="72" t="str">
        <x:v>POST /kyc, POST /claims</x:v>
      </x:c>
      <x:c r="G49" s="72" t="str">
        <x:v>Secure file upload</x:v>
      </x:c>
      <x:c r="H49" s="72" t="str">
        <x:v>KYC and claim upload forms.</x:v>
      </x:c>
      <x:c r="I49" s="72" t="str">
        <x:v>1. Upload a valid 1 MB PDF, a JPG and a PNG. 2. Upload an .exe renamed to .pdf and a real .exe. 3. Upload a 6 MB PDF.</x:v>
      </x:c>
      <x:c r="J49" s="72" t="str">
        <x:v>• Accepted. • 415 refused. • 413 refused.</x:v>
      </x:c>
      <x:c r="K49" s="84" t="str">
        <x:v>Not Run</x:v>
      </x:c>
      <x:c r="L49" s="72"/>
      <x:c r="M49" s="72"/>
      <x:c r="N49" s="111" t="str">
        <x:v>Sharana</x:v>
      </x:c>
      <x:c r="O49" s="109" t="str">
        <x:v>Samarth</x:v>
      </x:c>
      <x:c r="P49" s="111" t="str">
        <x:v>Sprint 1</x:v>
      </x:c>
      <x:c r="Q49" s="109" t="str">
        <x:v>#27</x:v>
      </x:c>
    </x:row>
    <x:row r="50" ht="74" customHeight="1">
      <x:c r="A50" s="90" t="str">
        <x:v>TC-Sec-08</x:v>
      </x:c>
      <x:c r="B50" s="72" t="str">
        <x:v>Integration</x:v>
      </x:c>
      <x:c r="C50" s="72" t="str">
        <x:v>Security</x:v>
      </x:c>
      <x:c r="D50" s="72" t="str">
        <x:v>Medium</x:v>
      </x:c>
      <x:c r="E50" s="72" t="str">
        <x:v>INS-SR-008</x:v>
      </x:c>
      <x:c r="F50" s="72" t="str">
        <x:v>IAuditLog</x:v>
      </x:c>
      <x:c r="G50" s="72" t="str">
        <x:v>Audit entries are append-only and attributed</x:v>
      </x:c>
      <x:c r="H50" s="72" t="str">
        <x:v>Payments and claim decisions made by known users.</x:v>
      </x:c>
      <x:c r="I50" s="72" t="str">
        <x:v>1. Check the audit rows of a payment and a claim decision. 2. Try to edit or delete them through the application and the database roles.</x:v>
      </x:c>
      <x:c r="J50" s="72" t="str">
        <x:v>• Each row names the acting user. • No role can edit or delete.</x:v>
      </x:c>
      <x:c r="K50" s="84" t="str">
        <x:v>Not Run</x:v>
      </x:c>
      <x:c r="L50" s="72"/>
      <x:c r="M50" s="72"/>
      <x:c r="N50" s="111" t="str">
        <x:v>Sharana</x:v>
      </x:c>
      <x:c r="O50" s="109" t="str">
        <x:v>Samarth</x:v>
      </x:c>
      <x:c r="P50" s="111" t="str">
        <x:v>Sprint 2</x:v>
      </x:c>
      <x:c r="Q50" s="109" t="str">
        <x:v>#28</x:v>
      </x:c>
    </x:row>
    <x:row r="51" ht="102" customHeight="1">
      <x:c r="A51" s="90" t="str">
        <x:v>TC-Sec-09</x:v>
      </x:c>
      <x:c r="B51" s="72" t="str">
        <x:v>System</x:v>
      </x:c>
      <x:c r="C51" s="72" t="str">
        <x:v>Security</x:v>
      </x:c>
      <x:c r="D51" s="72" t="str">
        <x:v>High</x:v>
      </x:c>
      <x:c r="E51" s="72" t="str">
        <x:v>INS-SR-003</x:v>
      </x:c>
      <x:c r="F51" s="72" t="str">
        <x:v>SAD 4.1.4</x:v>
      </x:c>
      <x:c r="G51" s="72" t="str">
        <x:v>Insurer isolation</x:v>
      </x:c>
      <x:c r="H51" s="72" t="str">
        <x:v>Insurer A and B each with admin, underwriter, claims officer, plans, applications, claims and cancellations.</x:v>
      </x:c>
      <x:c r="I51" s="72" t="str">
        <x:v>1. Log in as A-UW, A-CO and A-ADM; list referred applications, claims, cancellations and the dashboard. 2. Request records of insurer B directly by ID (GET, POST decision). 3. Add insurerId=B as a query parameter or body field. 4. Check the audit log.</x:v>
      </x:c>
      <x:c r="J51" s="72" t="str">
        <x:v>• Only insurer A records are listed and counted. • 403 ACCESS-403 for every direct access. • The parameter is ignored; scope comes from the session. • Each violation is recorded.</x:v>
      </x:c>
      <x:c r="K51" s="84" t="str">
        <x:v>Not Run</x:v>
      </x:c>
      <x:c r="L51" s="72"/>
      <x:c r="M51" s="72"/>
      <x:c r="N51" s="111" t="str">
        <x:v>Sharana</x:v>
      </x:c>
      <x:c r="O51" s="109" t="str">
        <x:v>Samarth</x:v>
      </x:c>
      <x:c r="P51" s="111" t="str">
        <x:v>Sprint 2</x:v>
      </x:c>
      <x:c r="Q51" s="109" t="str">
        <x:v>#23</x:v>
      </x:c>
    </x:row>
    <x:row r="52" ht="88" customHeight="1">
      <x:c r="A52" s="90" t="str">
        <x:v>TC-Sec-10</x:v>
      </x:c>
      <x:c r="B52" s="72" t="str">
        <x:v>System</x:v>
      </x:c>
      <x:c r="C52" s="72" t="str">
        <x:v>Security</x:v>
      </x:c>
      <x:c r="D52" s="72" t="str">
        <x:v>High</x:v>
      </x:c>
      <x:c r="E52" s="72" t="str">
        <x:v>INS-SR-005</x:v>
      </x:c>
      <x:c r="F52" s="72" t="str">
        <x:v>SAD 3.9 session management</x:v>
      </x:c>
      <x:c r="G52" s="72" t="str">
        <x:v>Session inactivity timeout</x:v>
      </x:c>
      <x:c r="H52" s="72" t="str">
        <x:v>Logged-in user; test clock.</x:v>
      </x:c>
      <x:c r="I52" s="72" t="str">
        <x:v>1. Make a request at minute 0, wait 14 minutes, make another request. 2. Wait 16 minutes without any request, then make a request. 3. Keep making a request every 10 minutes for 8 hours.</x:v>
      </x:c>
      <x:c r="J52" s="72" t="str">
        <x:v>• Second request succeeds (activity refreshes the session). • 401 (idle more than 15 minutes). • Session ends at the 8-hour maximum.</x:v>
      </x:c>
      <x:c r="K52" s="84" t="str">
        <x:v>Not Run</x:v>
      </x:c>
      <x:c r="L52" s="72"/>
      <x:c r="M52" s="72"/>
      <x:c r="N52" s="111" t="str">
        <x:v>Sharana</x:v>
      </x:c>
      <x:c r="O52" s="109" t="str">
        <x:v>Samarth</x:v>
      </x:c>
      <x:c r="P52" s="111" t="str">
        <x:v>Sprint 2</x:v>
      </x:c>
      <x:c r="Q52" s="109" t="str">
        <x:v>#24</x:v>
      </x:c>
    </x:row>
    <x:row r="53" ht="74" customHeight="1">
      <x:c r="A53" s="90" t="str">
        <x:v>TC-Sec-11</x:v>
      </x:c>
      <x:c r="B53" s="72" t="str">
        <x:v>Integration</x:v>
      </x:c>
      <x:c r="C53" s="72" t="str">
        <x:v>Security</x:v>
      </x:c>
      <x:c r="D53" s="72" t="str">
        <x:v>Medium</x:v>
      </x:c>
      <x:c r="E53" s="72" t="str">
        <x:v>INS-SR-002, INS-SR-004</x:v>
      </x:c>
      <x:c r="F53" s="72" t="str">
        <x:v>SAD 4.4</x:v>
      </x:c>
      <x:c r="G53" s="72" t="str">
        <x:v>No sensitive data in logs</x:v>
      </x:c>
      <x:c r="H53" s="72" t="str">
        <x:v>Test run covering KYC, claims and payments.</x:v>
      </x:c>
      <x:c r="I53" s="72" t="str">
        <x:v>1. Search application logs for PAN, Aadhaar numbers, passwords, tokens, medical details and payment data. 2. Cause an error and read the error response.</x:v>
      </x:c>
      <x:c r="J53" s="72" t="str">
        <x:v>• None found; identifiers are masked. • The user sees a generic message and a correlation ID only.</x:v>
      </x:c>
      <x:c r="K53" s="84" t="str">
        <x:v>Not Run</x:v>
      </x:c>
      <x:c r="L53" s="72"/>
      <x:c r="M53" s="72"/>
      <x:c r="N53" s="111" t="str">
        <x:v>Raghunandan-Kotary</x:v>
      </x:c>
      <x:c r="O53" s="109" t="str">
        <x:v>Samarth</x:v>
      </x:c>
      <x:c r="P53" s="111" t="str">
        <x:v>Sprint 2</x:v>
      </x:c>
      <x:c r="Q53" s="109" t="str">
        <x:v>#22, #37</x:v>
      </x:c>
    </x:row>
  </x:sheetData>
  <x:dataValidations count="2">
    <x:dataValidation type="list" sqref="K2:K53">
      <x:formula1>"Not Run,In Progress,Pass,Fail,Blocked"</x:formula1>
    </x:dataValidation>
    <x:dataValidation type="list" sqref="P2:P53">
      <x:formula1>"Sprint 1,Sprint 2"</x:formula1>
    </x:dataValidation>
  </x:dataValidations>
  <x:pageMargins left="0.7" right="0.7" top="0.75" bottom="0.75" header="0.3" footer="0.3"/>
  <x:tableParts count="1">
    <x:tablePart xmlns:r="http://schemas.openxmlformats.org/officeDocument/2006/relationships" r:id="R92b9509726d149a9"/>
  </x:tableParts>
</x:worksheet>
</file>